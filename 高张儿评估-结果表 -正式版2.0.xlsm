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ThisWorkbook"/>
  <mc:AlternateContent xmlns:mc="http://schemas.openxmlformats.org/markup-compatibility/2006">
    <mc:Choice Requires="x15">
      <x15ac:absPath xmlns:x15ac="http://schemas.microsoft.com/office/spreadsheetml/2010/11/ac" url="C:\Users\YEH TSANGFU\OneDrive\文件\OneDrive\桌面\"/>
    </mc:Choice>
  </mc:AlternateContent>
  <xr:revisionPtr revIDLastSave="0" documentId="13_ncr:1_{B8238DC7-BC83-4F3F-B479-5B7332C36A7B}" xr6:coauthVersionLast="47" xr6:coauthVersionMax="47" xr10:uidLastSave="{00000000-0000-0000-0000-000000000000}"/>
  <bookViews>
    <workbookView xWindow="-110" yWindow="-110" windowWidth="19420" windowHeight="11020" activeTab="4" xr2:uid="{00000000-000D-0000-FFFF-FFFF00000000}"/>
  </bookViews>
  <sheets>
    <sheet name="MustRead" sheetId="5" r:id="rId1"/>
    <sheet name="Input" sheetId="1" r:id="rId2"/>
    <sheet name="TotalAnalysis" sheetId="6" r:id="rId3"/>
    <sheet name="DetailedAnalysis" sheetId="7" r:id="rId4"/>
    <sheet name="NotAchieved" sheetId="8" r:id="rId5"/>
  </sheets>
  <definedNames>
    <definedName name="_xlnm._FilterDatabase" localSheetId="1" hidden="1">Input!$A$4:$Q$1314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14" i="8" l="1"/>
  <c r="AN14" i="8"/>
  <c r="AM14" i="8"/>
  <c r="AL14" i="8"/>
  <c r="AK14" i="8"/>
  <c r="AJ14" i="8"/>
  <c r="AI14" i="8"/>
  <c r="AH14" i="8"/>
  <c r="AG14" i="8"/>
  <c r="AF14" i="8"/>
  <c r="AE14" i="8"/>
  <c r="AD14" i="8"/>
  <c r="AC14" i="8"/>
  <c r="AB14" i="8"/>
  <c r="AA14" i="8"/>
  <c r="Z14" i="8"/>
  <c r="Y14" i="8"/>
  <c r="X14" i="8"/>
  <c r="W14" i="8"/>
  <c r="V14" i="8"/>
  <c r="U14" i="8"/>
  <c r="T14" i="8"/>
  <c r="S14" i="8"/>
  <c r="Q14" i="8"/>
  <c r="P14" i="8"/>
  <c r="O14" i="8"/>
  <c r="N14" i="8"/>
  <c r="M14" i="8"/>
  <c r="L14" i="8"/>
  <c r="K14" i="8"/>
  <c r="J14" i="8"/>
  <c r="I14" i="8"/>
  <c r="H14" i="8"/>
  <c r="G14" i="8"/>
  <c r="F14" i="8"/>
  <c r="E14" i="8"/>
  <c r="D14"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D13"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D11"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AO8" i="8"/>
  <c r="AN8" i="8"/>
  <c r="AM8" i="8"/>
  <c r="AL8" i="8"/>
  <c r="AK8" i="8"/>
  <c r="AJ8" i="8"/>
  <c r="AI8" i="8"/>
  <c r="AH8" i="8"/>
  <c r="AG8" i="8"/>
  <c r="AF8" i="8"/>
  <c r="AE8" i="8"/>
  <c r="AD8" i="8"/>
  <c r="AC8" i="8"/>
  <c r="AB8" i="8"/>
  <c r="AA8" i="8"/>
  <c r="Z8" i="8"/>
  <c r="Y8" i="8"/>
  <c r="X8" i="8"/>
  <c r="W8" i="8"/>
  <c r="V8" i="8"/>
  <c r="U8" i="8"/>
  <c r="S8" i="8"/>
  <c r="R8" i="8"/>
  <c r="Q8" i="8"/>
  <c r="P8" i="8"/>
  <c r="O8" i="8"/>
  <c r="N8" i="8"/>
  <c r="M8" i="8"/>
  <c r="L8" i="8"/>
  <c r="I8" i="8"/>
  <c r="H8" i="8"/>
  <c r="G8" i="8"/>
  <c r="AO7" i="8"/>
  <c r="AN7" i="8"/>
  <c r="AM7" i="8"/>
  <c r="AL7" i="8"/>
  <c r="AK7" i="8"/>
  <c r="AJ7" i="8"/>
  <c r="AI7" i="8"/>
  <c r="AH7" i="8"/>
  <c r="AG7" i="8"/>
  <c r="AF7" i="8"/>
  <c r="AE7" i="8"/>
  <c r="AD7" i="8"/>
  <c r="AC7" i="8"/>
  <c r="AB7" i="8"/>
  <c r="AA7" i="8"/>
  <c r="Z7" i="8"/>
  <c r="Y7" i="8"/>
  <c r="X7" i="8"/>
  <c r="W7" i="8"/>
  <c r="V7" i="8"/>
  <c r="U7" i="8"/>
  <c r="S7" i="8"/>
  <c r="R7" i="8"/>
  <c r="Q7" i="8"/>
  <c r="P7" i="8"/>
  <c r="O7" i="8"/>
  <c r="N7" i="8"/>
  <c r="M7" i="8"/>
  <c r="L7" i="8"/>
  <c r="I7" i="8"/>
  <c r="H7" i="8"/>
  <c r="G7" i="8"/>
  <c r="AO6" i="8"/>
  <c r="AN6" i="8"/>
  <c r="AM6" i="8"/>
  <c r="AL6" i="8"/>
  <c r="AK6" i="8"/>
  <c r="AJ6" i="8"/>
  <c r="AI6" i="8"/>
  <c r="AH6" i="8"/>
  <c r="AG6" i="8"/>
  <c r="AF6" i="8"/>
  <c r="AE6" i="8"/>
  <c r="AD6" i="8"/>
  <c r="AC6" i="8"/>
  <c r="AB6" i="8"/>
  <c r="AA6" i="8"/>
  <c r="Z6" i="8"/>
  <c r="Y6" i="8"/>
  <c r="X6" i="8"/>
  <c r="W6" i="8"/>
  <c r="V6" i="8"/>
  <c r="U6" i="8"/>
  <c r="S6" i="8"/>
  <c r="R6" i="8"/>
  <c r="Q6" i="8"/>
  <c r="P6" i="8"/>
  <c r="O6" i="8"/>
  <c r="N6" i="8"/>
  <c r="M6" i="8"/>
  <c r="L6" i="8"/>
  <c r="I6" i="8"/>
  <c r="AO5" i="8"/>
  <c r="AN5" i="8"/>
  <c r="AM5" i="8"/>
  <c r="AL5" i="8"/>
  <c r="AK5" i="8"/>
  <c r="AJ5" i="8"/>
  <c r="AI5" i="8"/>
  <c r="AH5" i="8"/>
  <c r="AG5" i="8"/>
  <c r="AF5" i="8"/>
  <c r="AE5" i="8"/>
  <c r="AD5" i="8"/>
  <c r="AC5" i="8"/>
  <c r="AB5" i="8"/>
  <c r="AA5" i="8"/>
  <c r="Z5" i="8"/>
  <c r="Y5" i="8"/>
  <c r="X5" i="8"/>
  <c r="W5" i="8"/>
  <c r="V5" i="8"/>
  <c r="U5" i="8"/>
  <c r="S5" i="8"/>
  <c r="R5" i="8"/>
  <c r="Q5" i="8"/>
  <c r="P5" i="8"/>
  <c r="O5" i="8"/>
  <c r="N5" i="8"/>
  <c r="M5" i="8"/>
  <c r="L5" i="8"/>
  <c r="I5" i="8"/>
  <c r="AO4" i="8"/>
  <c r="AN4" i="8"/>
  <c r="AM4" i="8"/>
  <c r="AL4" i="8"/>
  <c r="AK4" i="8"/>
  <c r="AJ4" i="8"/>
  <c r="AI4" i="8"/>
  <c r="AH4" i="8"/>
  <c r="AG4" i="8"/>
  <c r="AF4" i="8"/>
  <c r="AE4" i="8"/>
  <c r="AD4" i="8"/>
  <c r="AC4" i="8"/>
  <c r="AB4" i="8"/>
  <c r="AA4" i="8"/>
  <c r="Z4" i="8"/>
  <c r="Y4" i="8"/>
  <c r="X4" i="8"/>
  <c r="W4" i="8"/>
  <c r="V4" i="8"/>
  <c r="U4" i="8"/>
  <c r="S4" i="8"/>
  <c r="R4" i="8"/>
  <c r="Q4" i="8"/>
  <c r="P4" i="8"/>
  <c r="O4" i="8"/>
  <c r="N4" i="8"/>
  <c r="M4" i="8"/>
  <c r="L4" i="8"/>
  <c r="I4" i="8"/>
  <c r="AO14" i="7"/>
  <c r="AN14" i="7"/>
  <c r="AM14" i="7"/>
  <c r="AL14" i="7"/>
  <c r="AK14" i="7"/>
  <c r="AJ14" i="7"/>
  <c r="AI14" i="7"/>
  <c r="AH14" i="7"/>
  <c r="AG14" i="7"/>
  <c r="AF14" i="7"/>
  <c r="AE14" i="7"/>
  <c r="AD14" i="7"/>
  <c r="AC14" i="7"/>
  <c r="AB14" i="7"/>
  <c r="AA14" i="7"/>
  <c r="Z14" i="7"/>
  <c r="Y14" i="7"/>
  <c r="X14" i="7"/>
  <c r="W14" i="7"/>
  <c r="V14" i="7"/>
  <c r="U14" i="7"/>
  <c r="T14" i="7"/>
  <c r="S14" i="7"/>
  <c r="Q14" i="7"/>
  <c r="P14" i="7"/>
  <c r="O14" i="7"/>
  <c r="N14" i="7"/>
  <c r="M14" i="7"/>
  <c r="L14" i="7"/>
  <c r="K14" i="7"/>
  <c r="J14" i="7"/>
  <c r="I14" i="7"/>
  <c r="H14" i="7"/>
  <c r="G14" i="7"/>
  <c r="F14" i="7"/>
  <c r="E14" i="7"/>
  <c r="D14" i="7"/>
  <c r="AO13" i="7"/>
  <c r="AN13" i="7"/>
  <c r="AM13" i="7"/>
  <c r="AL13" i="7"/>
  <c r="AK13" i="7"/>
  <c r="AJ13" i="7"/>
  <c r="AI13" i="7"/>
  <c r="AH13" i="7"/>
  <c r="AG13" i="7"/>
  <c r="AF13" i="7"/>
  <c r="AE13" i="7"/>
  <c r="AD13" i="7"/>
  <c r="AC13" i="7"/>
  <c r="AB13" i="7"/>
  <c r="AA13" i="7"/>
  <c r="Z13" i="7"/>
  <c r="Y13" i="7"/>
  <c r="X13" i="7"/>
  <c r="W13" i="7"/>
  <c r="V13" i="7"/>
  <c r="U13" i="7"/>
  <c r="T13" i="7"/>
  <c r="S13" i="7"/>
  <c r="R13" i="7"/>
  <c r="Q13" i="7"/>
  <c r="P13" i="7"/>
  <c r="O13" i="7"/>
  <c r="N13" i="7"/>
  <c r="M13" i="7"/>
  <c r="L13" i="7"/>
  <c r="K13" i="7"/>
  <c r="J13" i="7"/>
  <c r="I13" i="7"/>
  <c r="H13" i="7"/>
  <c r="G13" i="7"/>
  <c r="F13" i="7"/>
  <c r="E13" i="7"/>
  <c r="D13" i="7"/>
  <c r="AO12" i="7"/>
  <c r="AN12" i="7"/>
  <c r="AM12" i="7"/>
  <c r="AL12" i="7"/>
  <c r="AK12" i="7"/>
  <c r="AJ12" i="7"/>
  <c r="AI12" i="7"/>
  <c r="AH12" i="7"/>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D12" i="7"/>
  <c r="AO11" i="7"/>
  <c r="AN11" i="7"/>
  <c r="AM11" i="7"/>
  <c r="AL11" i="7"/>
  <c r="AK11" i="7"/>
  <c r="AJ11" i="7"/>
  <c r="AI11" i="7"/>
  <c r="AH11" i="7"/>
  <c r="AG11" i="7"/>
  <c r="AF11" i="7"/>
  <c r="AE11" i="7"/>
  <c r="AD11" i="7"/>
  <c r="AC11" i="7"/>
  <c r="AB11" i="7"/>
  <c r="AA11" i="7"/>
  <c r="Z11" i="7"/>
  <c r="Y11" i="7"/>
  <c r="X11" i="7"/>
  <c r="W11" i="7"/>
  <c r="V11" i="7"/>
  <c r="U11" i="7"/>
  <c r="T11" i="7"/>
  <c r="S11" i="7"/>
  <c r="R11" i="7"/>
  <c r="Q11" i="7"/>
  <c r="P11" i="7"/>
  <c r="O11" i="7"/>
  <c r="N11" i="7"/>
  <c r="M11" i="7"/>
  <c r="L11" i="7"/>
  <c r="K11" i="7"/>
  <c r="J11" i="7"/>
  <c r="I11" i="7"/>
  <c r="H11" i="7"/>
  <c r="G11" i="7"/>
  <c r="F11" i="7"/>
  <c r="E11" i="7"/>
  <c r="D11" i="7"/>
  <c r="AO10" i="7"/>
  <c r="AN10" i="7"/>
  <c r="AM10" i="7"/>
  <c r="AL10" i="7"/>
  <c r="AK10" i="7"/>
  <c r="AJ10" i="7"/>
  <c r="AI10" i="7"/>
  <c r="AH10" i="7"/>
  <c r="AG10" i="7"/>
  <c r="AF10" i="7"/>
  <c r="AE10" i="7"/>
  <c r="AD10" i="7"/>
  <c r="AC10" i="7"/>
  <c r="AB10" i="7"/>
  <c r="AA10" i="7"/>
  <c r="Z10" i="7"/>
  <c r="Y10" i="7"/>
  <c r="X10" i="7"/>
  <c r="W10" i="7"/>
  <c r="V10" i="7"/>
  <c r="U10" i="7"/>
  <c r="T10" i="7"/>
  <c r="S10" i="7"/>
  <c r="R10" i="7"/>
  <c r="Q10" i="7"/>
  <c r="P10" i="7"/>
  <c r="O10" i="7"/>
  <c r="N10" i="7"/>
  <c r="M10" i="7"/>
  <c r="L10" i="7"/>
  <c r="K10" i="7"/>
  <c r="J10" i="7"/>
  <c r="I10" i="7"/>
  <c r="H10" i="7"/>
  <c r="G10" i="7"/>
  <c r="AO9" i="7"/>
  <c r="AN9" i="7"/>
  <c r="AM9" i="7"/>
  <c r="AL9" i="7"/>
  <c r="AK9" i="7"/>
  <c r="AJ9" i="7"/>
  <c r="AI9" i="7"/>
  <c r="AH9" i="7"/>
  <c r="AG9" i="7"/>
  <c r="AF9" i="7"/>
  <c r="AE9" i="7"/>
  <c r="AD9" i="7"/>
  <c r="AC9" i="7"/>
  <c r="AB9" i="7"/>
  <c r="AA9" i="7"/>
  <c r="Z9" i="7"/>
  <c r="Y9" i="7"/>
  <c r="X9" i="7"/>
  <c r="W9" i="7"/>
  <c r="V9" i="7"/>
  <c r="U9" i="7"/>
  <c r="T9" i="7"/>
  <c r="S9" i="7"/>
  <c r="R9" i="7"/>
  <c r="Q9" i="7"/>
  <c r="P9" i="7"/>
  <c r="O9" i="7"/>
  <c r="N9" i="7"/>
  <c r="M9" i="7"/>
  <c r="L9" i="7"/>
  <c r="K9" i="7"/>
  <c r="J9" i="7"/>
  <c r="I9" i="7"/>
  <c r="H9" i="7"/>
  <c r="G9" i="7"/>
  <c r="AO8" i="7"/>
  <c r="AN8" i="7"/>
  <c r="AM8" i="7"/>
  <c r="AL8" i="7"/>
  <c r="AK8" i="7"/>
  <c r="AJ8" i="7"/>
  <c r="AI8" i="7"/>
  <c r="AH8" i="7"/>
  <c r="AG8" i="7"/>
  <c r="AF8" i="7"/>
  <c r="AE8" i="7"/>
  <c r="AD8" i="7"/>
  <c r="AC8" i="7"/>
  <c r="AB8" i="7"/>
  <c r="AA8" i="7"/>
  <c r="Z8" i="7"/>
  <c r="Y8" i="7"/>
  <c r="X8" i="7"/>
  <c r="W8" i="7"/>
  <c r="V8" i="7"/>
  <c r="U8" i="7"/>
  <c r="S8" i="7"/>
  <c r="R8" i="7"/>
  <c r="Q8" i="7"/>
  <c r="P8" i="7"/>
  <c r="O8" i="7"/>
  <c r="N8" i="7"/>
  <c r="M8" i="7"/>
  <c r="L8" i="7"/>
  <c r="I8" i="7"/>
  <c r="H8" i="7"/>
  <c r="G8" i="7"/>
  <c r="AO7" i="7"/>
  <c r="AN7" i="7"/>
  <c r="AM7" i="7"/>
  <c r="AL7" i="7"/>
  <c r="AK7" i="7"/>
  <c r="AJ7" i="7"/>
  <c r="AI7" i="7"/>
  <c r="AH7" i="7"/>
  <c r="AG7" i="7"/>
  <c r="AF7" i="7"/>
  <c r="AE7" i="7"/>
  <c r="AD7" i="7"/>
  <c r="AC7" i="7"/>
  <c r="AB7" i="7"/>
  <c r="AA7" i="7"/>
  <c r="Z7" i="7"/>
  <c r="Y7" i="7"/>
  <c r="X7" i="7"/>
  <c r="W7" i="7"/>
  <c r="V7" i="7"/>
  <c r="U7" i="7"/>
  <c r="S7" i="7"/>
  <c r="R7" i="7"/>
  <c r="Q7" i="7"/>
  <c r="P7" i="7"/>
  <c r="O7" i="7"/>
  <c r="N7" i="7"/>
  <c r="M7" i="7"/>
  <c r="L7" i="7"/>
  <c r="I7" i="7"/>
  <c r="H7" i="7"/>
  <c r="G7" i="7"/>
  <c r="AO6" i="7"/>
  <c r="AN6" i="7"/>
  <c r="AM6" i="7"/>
  <c r="AL6" i="7"/>
  <c r="AK6" i="7"/>
  <c r="AJ6" i="7"/>
  <c r="AI6" i="7"/>
  <c r="AH6" i="7"/>
  <c r="AG6" i="7"/>
  <c r="AF6" i="7"/>
  <c r="AE6" i="7"/>
  <c r="AD6" i="7"/>
  <c r="AC6" i="7"/>
  <c r="AB6" i="7"/>
  <c r="AA6" i="7"/>
  <c r="Z6" i="7"/>
  <c r="Y6" i="7"/>
  <c r="X6" i="7"/>
  <c r="W6" i="7"/>
  <c r="V6" i="7"/>
  <c r="U6" i="7"/>
  <c r="S6" i="7"/>
  <c r="R6" i="7"/>
  <c r="Q6" i="7"/>
  <c r="P6" i="7"/>
  <c r="O6" i="7"/>
  <c r="N6" i="7"/>
  <c r="M6" i="7"/>
  <c r="L6" i="7"/>
  <c r="I6" i="7"/>
  <c r="AO5" i="7"/>
  <c r="AN5" i="7"/>
  <c r="AM5" i="7"/>
  <c r="AL5" i="7"/>
  <c r="AK5" i="7"/>
  <c r="AJ5" i="7"/>
  <c r="AI5" i="7"/>
  <c r="AH5" i="7"/>
  <c r="AG5" i="7"/>
  <c r="AF5" i="7"/>
  <c r="AE5" i="7"/>
  <c r="AD5" i="7"/>
  <c r="AC5" i="7"/>
  <c r="AB5" i="7"/>
  <c r="AA5" i="7"/>
  <c r="Z5" i="7"/>
  <c r="Y5" i="7"/>
  <c r="X5" i="7"/>
  <c r="W5" i="7"/>
  <c r="V5" i="7"/>
  <c r="U5" i="7"/>
  <c r="S5" i="7"/>
  <c r="R5" i="7"/>
  <c r="Q5" i="7"/>
  <c r="P5" i="7"/>
  <c r="O5" i="7"/>
  <c r="N5" i="7"/>
  <c r="M5" i="7"/>
  <c r="L5" i="7"/>
  <c r="I5" i="7"/>
  <c r="AO4" i="7"/>
  <c r="AN4" i="7"/>
  <c r="AM4" i="7"/>
  <c r="AL4" i="7"/>
  <c r="AK4" i="7"/>
  <c r="AJ4" i="7"/>
  <c r="AI4" i="7"/>
  <c r="AH4" i="7"/>
  <c r="AG4" i="7"/>
  <c r="AF4" i="7"/>
  <c r="AE4" i="7"/>
  <c r="AD4" i="7"/>
  <c r="AC4" i="7"/>
  <c r="AB4" i="7"/>
  <c r="AA4" i="7"/>
  <c r="Z4" i="7"/>
  <c r="Y4" i="7"/>
  <c r="X4" i="7"/>
  <c r="W4" i="7"/>
  <c r="V4" i="7"/>
  <c r="U4" i="7"/>
  <c r="S4" i="7"/>
  <c r="R4" i="7"/>
  <c r="Q4" i="7"/>
  <c r="P4" i="7"/>
  <c r="O4" i="7"/>
  <c r="N4" i="7"/>
  <c r="M4" i="7"/>
  <c r="L4" i="7"/>
  <c r="I4" i="7"/>
  <c r="AA14" i="6"/>
  <c r="Z14" i="6"/>
  <c r="Y14" i="6"/>
  <c r="X14" i="6"/>
  <c r="W14" i="6"/>
  <c r="V14" i="6"/>
  <c r="U14" i="6"/>
  <c r="T14" i="6"/>
  <c r="S14" i="6"/>
  <c r="R14" i="6"/>
  <c r="Q14" i="6"/>
  <c r="P14" i="6"/>
  <c r="O14" i="6"/>
  <c r="N14" i="6"/>
  <c r="M14" i="6"/>
  <c r="L14" i="6"/>
  <c r="K14" i="6"/>
  <c r="J14" i="6"/>
  <c r="I14" i="6"/>
  <c r="H14" i="6"/>
  <c r="G14" i="6"/>
  <c r="F14" i="6"/>
  <c r="E14" i="6"/>
  <c r="D14" i="6"/>
  <c r="AA13" i="6"/>
  <c r="Z13" i="6"/>
  <c r="Y13" i="6"/>
  <c r="X13" i="6"/>
  <c r="W13" i="6"/>
  <c r="V13" i="6"/>
  <c r="U13" i="6"/>
  <c r="T13" i="6"/>
  <c r="S13" i="6"/>
  <c r="R13" i="6"/>
  <c r="Q13" i="6"/>
  <c r="P13" i="6"/>
  <c r="O13" i="6"/>
  <c r="N13" i="6"/>
  <c r="M13" i="6"/>
  <c r="L13" i="6"/>
  <c r="K13" i="6"/>
  <c r="J13" i="6"/>
  <c r="I13" i="6"/>
  <c r="H13" i="6"/>
  <c r="G13" i="6"/>
  <c r="F13" i="6"/>
  <c r="E13" i="6"/>
  <c r="D13" i="6"/>
  <c r="AA12" i="6"/>
  <c r="Z12" i="6"/>
  <c r="Y12" i="6"/>
  <c r="X12" i="6"/>
  <c r="W12" i="6"/>
  <c r="V12" i="6"/>
  <c r="U12" i="6"/>
  <c r="T12" i="6"/>
  <c r="S12" i="6"/>
  <c r="R12" i="6"/>
  <c r="Q12" i="6"/>
  <c r="P12" i="6"/>
  <c r="O12" i="6"/>
  <c r="N12" i="6"/>
  <c r="M12" i="6"/>
  <c r="L12" i="6"/>
  <c r="K12" i="6"/>
  <c r="J12" i="6"/>
  <c r="I12" i="6"/>
  <c r="H12" i="6"/>
  <c r="G12" i="6"/>
  <c r="F12" i="6"/>
  <c r="E12" i="6"/>
  <c r="D12" i="6"/>
  <c r="AA11" i="6"/>
  <c r="Z11" i="6"/>
  <c r="Y11" i="6"/>
  <c r="X11" i="6"/>
  <c r="W11" i="6"/>
  <c r="V11" i="6"/>
  <c r="U11" i="6"/>
  <c r="T11" i="6"/>
  <c r="S11" i="6"/>
  <c r="R11" i="6"/>
  <c r="Q11" i="6"/>
  <c r="P11" i="6"/>
  <c r="O11" i="6"/>
  <c r="N11" i="6"/>
  <c r="M11" i="6"/>
  <c r="L11" i="6"/>
  <c r="K11" i="6"/>
  <c r="J11" i="6"/>
  <c r="I11" i="6"/>
  <c r="H11" i="6"/>
  <c r="G11" i="6"/>
  <c r="F11" i="6"/>
  <c r="E11" i="6"/>
  <c r="D11" i="6"/>
  <c r="AA10" i="6"/>
  <c r="Z10" i="6"/>
  <c r="Y10" i="6"/>
  <c r="X10" i="6"/>
  <c r="W10" i="6"/>
  <c r="V10" i="6"/>
  <c r="U10" i="6"/>
  <c r="T10" i="6"/>
  <c r="S10" i="6"/>
  <c r="R10" i="6"/>
  <c r="Q10" i="6"/>
  <c r="P10" i="6"/>
  <c r="O10" i="6"/>
  <c r="N10" i="6"/>
  <c r="M10" i="6"/>
  <c r="L10" i="6"/>
  <c r="K10" i="6"/>
  <c r="J10" i="6"/>
  <c r="I10" i="6"/>
  <c r="H10" i="6"/>
  <c r="G10" i="6"/>
  <c r="AA9" i="6"/>
  <c r="Z9" i="6"/>
  <c r="Y9" i="6"/>
  <c r="X9" i="6"/>
  <c r="W9" i="6"/>
  <c r="V9" i="6"/>
  <c r="U9" i="6"/>
  <c r="T9" i="6"/>
  <c r="S9" i="6"/>
  <c r="R9" i="6"/>
  <c r="Q9" i="6"/>
  <c r="P9" i="6"/>
  <c r="O9" i="6"/>
  <c r="N9" i="6"/>
  <c r="M9" i="6"/>
  <c r="L9" i="6"/>
  <c r="K9" i="6"/>
  <c r="J9" i="6"/>
  <c r="I9" i="6"/>
  <c r="H9" i="6"/>
  <c r="G9" i="6"/>
  <c r="AA8" i="6"/>
  <c r="Z8" i="6"/>
  <c r="Y8" i="6"/>
  <c r="X8" i="6"/>
  <c r="W8" i="6"/>
  <c r="V8" i="6"/>
  <c r="U8" i="6"/>
  <c r="T8" i="6"/>
  <c r="S8" i="6"/>
  <c r="R8" i="6"/>
  <c r="Q8" i="6"/>
  <c r="P8" i="6"/>
  <c r="O8" i="6"/>
  <c r="M8" i="6"/>
  <c r="L8" i="6"/>
  <c r="K8" i="6"/>
  <c r="I8" i="6"/>
  <c r="H8" i="6"/>
  <c r="G8" i="6"/>
  <c r="AA7" i="6"/>
  <c r="Z7" i="6"/>
  <c r="Y7" i="6"/>
  <c r="X7" i="6"/>
  <c r="W7" i="6"/>
  <c r="V7" i="6"/>
  <c r="U7" i="6"/>
  <c r="T7" i="6"/>
  <c r="S7" i="6"/>
  <c r="R7" i="6"/>
  <c r="Q7" i="6"/>
  <c r="P7" i="6"/>
  <c r="O7" i="6"/>
  <c r="M7" i="6"/>
  <c r="L7" i="6"/>
  <c r="K7" i="6"/>
  <c r="I7" i="6"/>
  <c r="H7" i="6"/>
  <c r="G7" i="6"/>
  <c r="AA6" i="6"/>
  <c r="Z6" i="6"/>
  <c r="Y6" i="6"/>
  <c r="X6" i="6"/>
  <c r="W6" i="6"/>
  <c r="V6" i="6"/>
  <c r="U6" i="6"/>
  <c r="T6" i="6"/>
  <c r="S6" i="6"/>
  <c r="R6" i="6"/>
  <c r="Q6" i="6"/>
  <c r="P6" i="6"/>
  <c r="O6" i="6"/>
  <c r="M6" i="6"/>
  <c r="L6" i="6"/>
  <c r="K6" i="6"/>
  <c r="I6" i="6"/>
  <c r="AA5" i="6"/>
  <c r="Z5" i="6"/>
  <c r="Y5" i="6"/>
  <c r="X5" i="6"/>
  <c r="W5" i="6"/>
  <c r="V5" i="6"/>
  <c r="U5" i="6"/>
  <c r="T5" i="6"/>
  <c r="S5" i="6"/>
  <c r="R5" i="6"/>
  <c r="Q5" i="6"/>
  <c r="P5" i="6"/>
  <c r="O5" i="6"/>
  <c r="M5" i="6"/>
  <c r="L5" i="6"/>
  <c r="K5" i="6"/>
  <c r="I5" i="6"/>
  <c r="AA4" i="6"/>
  <c r="Z4" i="6"/>
  <c r="Y4" i="6"/>
  <c r="X4" i="6"/>
  <c r="W4" i="6"/>
  <c r="V4" i="6"/>
  <c r="U4" i="6"/>
  <c r="T4" i="6"/>
  <c r="S4" i="6"/>
  <c r="R4" i="6"/>
  <c r="Q4" i="6"/>
  <c r="P4" i="6"/>
  <c r="O4" i="6"/>
  <c r="M4" i="6"/>
  <c r="L4" i="6"/>
  <c r="K4" i="6"/>
  <c r="I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COSH</author>
  </authors>
  <commentList>
    <comment ref="I4" authorId="0" shapeId="0" xr:uid="{1C608CB6-3ABC-4C06-BB4D-DD6AE655FE35}">
      <text>
        <r>
          <rPr>
            <sz val="9"/>
            <color indexed="81"/>
            <rFont val="Tahoma"/>
            <family val="2"/>
          </rPr>
          <t xml:space="preserve">1.2.24(M6S6)双手协同携物及单脚站立姿摆位下，可自主独立完成正确独立各单脚维持中线站立5秒并慢速数数1~5下的姿势控制。
2.(M6S6)站立姿摆位下，可自主独立完成正确交替抬脚踩踏梯背架高位横杆及对侧上肢抬手与数数的(10~1下)多样性活动与姿势控制。
3.2.25(M6S6)四点爬姿摆位下，可自主独立完成正确对侧交替抬脚、抬手及维持中线姿势控制10秒并能倒数第几回及正数数1~10秒活动与姿势控制(例如:10，1~10；9，1~10；~1，1~10)。
4.2.26(M6S6)各单脚站立摆位下，可自主独立完成正确独立且稳定单脚原地连续跳5下，及期间各维持5
</t>
        </r>
      </text>
    </comment>
    <comment ref="L4" authorId="0" shapeId="0" xr:uid="{19D0BF54-B8FE-41FB-9204-EFAE57FA9708}">
      <text>
        <r>
          <rPr>
            <sz val="9"/>
            <color indexed="81"/>
            <rFont val="Tahoma"/>
            <family val="2"/>
          </rPr>
          <t xml:space="preserve">1.穿衣。
2.在牙刷上挤牙膏。
3.用筷子夹物。
4.将纸对折再对折。
5.画菱形。
6.会写一写字。
7.使用刀子。
8.能用铅笔写字或画。
9.会系鞋带。
</t>
        </r>
      </text>
    </comment>
    <comment ref="M4" authorId="0" shapeId="0" xr:uid="{8536329D-195D-4508-A24C-C009E7B2192B}">
      <text>
        <r>
          <rPr>
            <sz val="9"/>
            <color indexed="81"/>
            <rFont val="Tahoma"/>
            <family val="2"/>
          </rPr>
          <t xml:space="preserve">1.在大人协助下，能和同伴玩简单的规则性游戏(如：五子棋)。
2.能参与表决。
3.能遵守团体的规定。
4.会适当的回话(电话)，传达知道的讯息。
5.能参加集体活动，自我评价。
6.出现合作意识。
7.会选择要好的朋友。
8.在游戏中有些性别区分。
9.在大人监督下，独自到店里买简单物品。
10.在游戏中会遵守公平及规则。
11.能观察出游戏规则，与人轮流。
12.在学习中，与人合作。
13.会和同伴分享秘密(不告诉大人)。
14.努力使团体、老师满意，遵守团体规范。
</t>
        </r>
      </text>
    </comment>
    <comment ref="N4" authorId="0" shapeId="0" xr:uid="{0CEA47A1-FA79-4218-A920-176FF1DEF7BA}">
      <text>
        <r>
          <rPr>
            <sz val="9"/>
            <color indexed="81"/>
            <rFont val="Tahoma"/>
            <family val="2"/>
          </rPr>
          <t xml:space="preserve">1.在大人监督下，在自己住家附近玩，而不会乱跑到马路上去。
2.能为家务事负责(主动不须监督就做好)。
3.能表现出适当行为(如：在图书馆看书时知道小声讲话)。
4.能完成一长期工作(如：浇花)。
5.在日常生活中，能分辨现实和幻想。
6.能照着刚订定的计划执行。
7.能遵守自己的未来计划。
8.独立完成数件或复杂长久的工作。
9.能将作息内容和时间配对。
10.会玩简单桌上游戏(如：扑克牌)。
</t>
        </r>
      </text>
    </comment>
    <comment ref="O4" authorId="0" shapeId="0" xr:uid="{8CA28D0D-3E02-453F-A28B-6B1F48574F48}">
      <text>
        <r>
          <rPr>
            <sz val="9"/>
            <color indexed="81"/>
            <rFont val="Tahoma"/>
            <family val="2"/>
          </rPr>
          <t xml:space="preserve">1.能采取积极的策略和认知策略，进行自我情绪控制。
2.遵守情绪表达规则，尽量表现积极情绪。
3.回答关于如何照顾自己的方法。
4.知道自己观点，意识不到别人的观点。
</t>
        </r>
      </text>
    </comment>
    <comment ref="P4" authorId="0" shapeId="0" xr:uid="{2CCC1972-55E5-4C8B-8DC0-2945D032F0EB}">
      <text>
        <r>
          <rPr>
            <sz val="9"/>
            <color indexed="81"/>
            <rFont val="Tahoma"/>
            <family val="2"/>
          </rPr>
          <t xml:space="preserve">1.观察逐渐转变为一个相互独立的，有目的、有组织的过程(并开始逐步形成有方向的，自觉的观察力)。
2.有意识注意明显增强，能按活动的目的和成人的要求进行。
3.能照着示范者排列的顺序，将字排列成句子。
</t>
        </r>
      </text>
    </comment>
    <comment ref="Q4" authorId="0" shapeId="0" xr:uid="{DA854B7E-6910-4EF5-A4F5-FDE50CD9F800}">
      <text>
        <r>
          <rPr>
            <sz val="9"/>
            <color indexed="81"/>
            <rFont val="Tahoma"/>
            <family val="2"/>
          </rPr>
          <t xml:space="preserve">1.已有意识记忆，能接受家长和老师的要求，进行有目的的记忆。
2.10个熟悉物品中能够记住6-7个，不熟悉物品中也能记住4-5个。
3.能懂得应用一些记忆方法。
4.会把某些归类，建立起逻辑联系来提高记忆。
</t>
        </r>
      </text>
    </comment>
    <comment ref="R4" authorId="0" shapeId="0" xr:uid="{FF0AB170-CB03-40F1-B909-C2B0AA80B1E6}">
      <text>
        <r>
          <rPr>
            <sz val="9"/>
            <color indexed="81"/>
            <rFont val="Tahoma"/>
            <family val="2"/>
          </rPr>
          <t xml:space="preserve">1.能理解几种水果、蔬菜、花，并说出它们的用途。
2.能区分几种常见的树。
3.能说出水陆上的交通工具、常见家具的名称。
4.能说出四个季节的特征。
5.本体运动知觉发育成熟,有重量概念。
6.初步理解了“真实”“虚构”。
7.知道一年12个月的名称。
8.时间概念比较准确可以看钟表。
</t>
        </r>
      </text>
    </comment>
    <comment ref="S4" authorId="0" shapeId="0" xr:uid="{25962116-74AD-44FB-AE4A-04440E010715}">
      <text>
        <r>
          <rPr>
            <sz val="9"/>
            <color indexed="81"/>
            <rFont val="Tahoma"/>
            <family val="2"/>
          </rPr>
          <t xml:space="preserve">1.对自己的行为做初步评价。
2.有一定的道德感和责任感。
3.能对未来作出推论(如：车子会越来越多)。
4.能预期幻想结果(如：在下雪的时候应该穿什么衣服)。
5.能解决有顺序推论问题。
6.能解决有逻辑推理问题(如：根据三个图形的关系找出第四个图形)。
7.能准确判断自己能做什么，不能做什么。
8.会通过改变自己的行为来使同伴满意。
</t>
        </r>
      </text>
    </comment>
    <comment ref="U4" authorId="0" shapeId="0" xr:uid="{76DF976D-0403-4F3B-AC0E-83560F5A833A}">
      <text>
        <r>
          <rPr>
            <sz val="9"/>
            <color indexed="81"/>
            <rFont val="Tahoma"/>
            <family val="2"/>
          </rPr>
          <t xml:space="preserve">1.会区分“最接近”、“最远”、“整个”、“一半”。
2.能依要求正确找出1-10所要的数字。
3.了解“以前”、“以后”，区分“左右”。
4.能猜10个左右谜语。
5.能较好地理解被动语句。
6.能读拼音及一些汉字。
</t>
        </r>
      </text>
    </comment>
    <comment ref="V4" authorId="0" shapeId="0" xr:uid="{2B13D1DC-0486-4178-9D22-20A4F2D75DFD}">
      <text>
        <r>
          <rPr>
            <sz val="9"/>
            <color indexed="81"/>
            <rFont val="Tahoma"/>
            <family val="2"/>
          </rPr>
          <t xml:space="preserve">1.连词数量迅速增加。
2.会说有因果转折、条件假设等关系的连词的句子（如“为了”“结果”“要不然”…）。
3.也会说成对连词的句子（如“没有…只有…”如果…就”）。
4.能很流利地表达复杂的句型，会讲较复杂的故事。
5.会说量词，但还不能很正确地遵从“数词+量词+名词”，(如：一辆自行车)。
6.能讲出四季的名称和主要特点。
7.会说时间字汇：早上、中午、晚上。
8.照着写拼音、简单汉字。
9.能仿写合体字。
10.自行写出一些汉字。
</t>
        </r>
      </text>
    </comment>
    <comment ref="I5" authorId="0" shapeId="0" xr:uid="{04FADAF0-7184-4667-9DDF-07C906F54391}">
      <text>
        <r>
          <rPr>
            <sz val="9"/>
            <color indexed="81"/>
            <rFont val="Tahoma"/>
            <family val="2"/>
          </rPr>
          <t xml:space="preserve">1.(M5S5)双手扶持梯背架及单脚站立姿摆位下，可自主独立完成单下肢动态半蹲站2下的活动控制。
2.(M5S5)站立姿摆位下，可自主独立完成双下肢交替踩踏高位横杆(超越髋关节高度)(1~10下)的
3.2.21(M6S6)单脚踩踏高位横杆站立姿摆位下，可自主独立完成正确双上肢协同抛、接球(1~10下)的
4.(M5S5)双手协同携物及跪坐姿摆位下，可自主独立完成向前跪坐跳2下的活动发育。
5.2.22(M5S5)双手协同携物及蹲姿摆位下，可自主独立完成向前蹲跳3下的活动发育。
6.2.23(M5S5)双手协同携物及蹲姿摆位下，可自主独立完成向后蹲跳3下的活动发育。
</t>
        </r>
      </text>
    </comment>
    <comment ref="L5" authorId="0" shapeId="0" xr:uid="{CF60D4ED-1B60-41DE-93D9-57871B077683}">
      <text>
        <r>
          <rPr>
            <sz val="9"/>
            <color indexed="81"/>
            <rFont val="Tahoma"/>
            <family val="2"/>
          </rPr>
          <t xml:space="preserve">1.穿套头衫。
2.解开小扣子。
3.画正方形。
4.剪正方形。
5.将纸对折。
6.扣上小扣子。
7.在线条范围内着色。
8.画三角形。
9.仿写数字，拼音。
10.用筷子夹食物。
11.将黏土揉成小球。
</t>
        </r>
      </text>
    </comment>
    <comment ref="M5" authorId="0" shapeId="0" xr:uid="{FE355EA4-2942-4ACE-A67B-3C3543472E5D}">
      <text>
        <r>
          <rPr>
            <sz val="9"/>
            <color indexed="81"/>
            <rFont val="Tahoma"/>
            <family val="2"/>
          </rPr>
          <t xml:space="preserve">1.能和同伴玩团体游戏。
2.能和同伴交谈。
3.能自发的轮流及分享玩具。
4.会在游戏中称赞或批评别的小朋友行为。
5.能主动和同伴合作。
6.能独立和同伴交朋友。
7.在小组活动或其他教学情境时能适当响应(如：对教学内容或指令有响应)。
8.能在适当时机用请、谢谢或不客气等用语。
9.在全新的游戏情境下，能与人分享物品及器材。
10.会把周遭的人及孩子当成朋友。
11.交谈时，会注意听别人说话。
12.在使用别人正在使用的物品时，会征求同意。
13.能和同伴计划将来要玩什么。
</t>
        </r>
      </text>
    </comment>
    <comment ref="N5" authorId="0" shapeId="0" xr:uid="{2F63C17D-3A2D-4E92-865B-ACB42749C428}">
      <text>
        <r>
          <rPr>
            <sz val="9"/>
            <color indexed="81"/>
            <rFont val="Tahoma"/>
            <family val="2"/>
          </rPr>
          <t xml:space="preserve">1.能避免一般危险(如：破碎物品或危险的动物)。
2.能先试着独立完成工作几分钟，而不急着寻求协助。
3.能完成一件工作(如：画图、拼图)。
4.能在不同的学习区选择喜欢的活动。
5.小心使用他人物品。
6.能说出男人和女人的区别。
7.能分辨适当或不适当的行为。
8.能选择适当的行为，以替代不适当的行为。
9.能扮演不同的角色。
</t>
        </r>
      </text>
    </comment>
    <comment ref="O5" authorId="0" shapeId="0" xr:uid="{70476CAF-BBB9-456F-833A-05D2BEB7F962}">
      <text>
        <r>
          <rPr>
            <sz val="9"/>
            <color indexed="81"/>
            <rFont val="Tahoma"/>
            <family val="2"/>
          </rPr>
          <t xml:space="preserve">1.会对奇怪的问题或好笑的图片笑。
2.开始判断各种情况产生的原因。
3.表达情绪的行为更为准确、复杂。
4.随着语言发展，移情反应更深思熟虑。
5.能用较抽象的方式(如：唱歌)来表达自己的情绪。
6.可以把一些行为和道德规范相互比较，产生相应的情绪。
7.能具体描述自己的感觉(如：我累了)。
8.能说出自己喜欢的事或活动。
9.能说出眼耳鼻是做什么用的。
10.希望有独处或一个人的时候。
11.能回答关于如何保持清洁的方法。
12.能在游戏或学习时说出最喜欢哪一部分。
13.能说出婴儿是从哪里来。
14.能说出对某些事物的感觉。
15.能说出自己的愿望。
16.能正面看待自己，谈自己兴趣。
17.能说出自己在某时最喜欢做的事。
18.能对自己喜欢某些事物提出理解。
</t>
        </r>
      </text>
    </comment>
    <comment ref="P5" authorId="0" shapeId="0" xr:uid="{DE54A4B8-3742-4553-98BE-3FE3F6952378}">
      <text>
        <r>
          <rPr>
            <sz val="9"/>
            <color indexed="81"/>
            <rFont val="Tahoma"/>
            <family val="2"/>
          </rPr>
          <t xml:space="preserve">1.能注意事件中的细节。
2.能注意故事或事件中抽象的状况。
</t>
        </r>
      </text>
    </comment>
    <comment ref="Q5" authorId="0" shapeId="0" xr:uid="{FE30E534-E424-4E6E-B6EA-4E0CDC32336C}">
      <text>
        <r>
          <rPr>
            <sz val="9"/>
            <color indexed="81"/>
            <rFont val="Tahoma"/>
            <family val="2"/>
          </rPr>
          <t xml:space="preserve">1.能用语言描述电视中的故事情节。
2.能记得并重复听到的5-6个字的句子，且顺序正确(如：太阳出来了)。
3.在一次性呈现后,能再现10个熟悉物品中,能够记住4-5个。
4.再现10个不熟悉物品中,也能够大约记住2-3个。
</t>
        </r>
      </text>
    </comment>
    <comment ref="R5" authorId="0" shapeId="0" xr:uid="{3B2A1DEF-2022-4F94-8EDD-2CB5E619FF8D}">
      <text>
        <r>
          <rPr>
            <sz val="9"/>
            <color indexed="81"/>
            <rFont val="Tahoma"/>
            <family val="2"/>
          </rPr>
          <t xml:space="preserve">1.能理解一样多的概念，并将2个、4个、6个及8个物品分成二堆，每堆(或每人)一样多。
2.能根据声音的特性进行分类(如：机器和人的声音)。
3.能理解过去、现在、将来。可能知道一星期各天的名称，但可能不清楚它们的顺序。
</t>
        </r>
      </text>
    </comment>
    <comment ref="S5" authorId="0" shapeId="0" xr:uid="{7B3991F6-E4FB-448A-A1CD-6D37CEC309CA}">
      <text>
        <r>
          <rPr>
            <sz val="9"/>
            <color indexed="81"/>
            <rFont val="Tahoma"/>
            <family val="2"/>
          </rPr>
          <t xml:space="preserve">1.开始具备传递性推理能力，即对元素排列次序关系的一种推理（如，由A&gt;B，B&gt;C，推出A&gt;C）。
2.具备因果推理能力(且许多儿童已经基本上具有了思维的可逆性)。
3.能够进行逆向的果→因推理。
</t>
        </r>
      </text>
    </comment>
    <comment ref="U5" authorId="0" shapeId="0" xr:uid="{437FB81E-AA4A-43E7-B60B-EB3317656BED}">
      <text>
        <r>
          <rPr>
            <sz val="9"/>
            <color indexed="81"/>
            <rFont val="Tahoma"/>
            <family val="2"/>
          </rPr>
          <t xml:space="preserve">1.了解“多远”。
2.会区分相同或不同形状。
3.懂得“多加一点“及“减少一点”。
4.会在要求下指出一系列东西中，第几个是哪一个。
5.懂得较复杂情节的故事。
6.能看图片说故事。
</t>
        </r>
      </text>
    </comment>
    <comment ref="V5" authorId="0" shapeId="0" xr:uid="{3C72751B-0979-474D-8D76-86E7B574A381}">
      <text>
        <r>
          <rPr>
            <sz val="9"/>
            <color indexed="81"/>
            <rFont val="Tahoma"/>
            <family val="2"/>
          </rPr>
          <t xml:space="preserve">1.已能和成人自由交谈。
2.声母l,s,zh.ch.sh.r。
3.会说钱币名称。
4.正确使用“为什么”。
5.为引起别人的注意，会用夸张的语调及简单语句。
6.至少能唱完一首完整的儿歌。
7.用“和”靠近“在…旁边”。
8.会用“一个”，会说出简单相反词。
9.会由1数到10或以上。
10.会解释字义。
11.能明确表示自己的思想。
12.能说出几种东西是什么做成的。
13.能描述下一步是什么。
14.照着图仿画三角形。
15.照着写数字。
16.能绘画简单的图形。
17.照着图仿画菱形。
18.听写数字。
</t>
        </r>
      </text>
    </comment>
    <comment ref="I6" authorId="0" shapeId="0" xr:uid="{A203B503-DB01-4F5A-B65C-8658949BDEBB}">
      <text>
        <r>
          <rPr>
            <sz val="9"/>
            <color indexed="81"/>
            <rFont val="Tahoma"/>
            <family val="2"/>
          </rPr>
          <t xml:space="preserve">1.(M5S5)站立姿摆位下，可自主独立完成双下肢交替踩踏高位横杆(超越20公分高度)(1~10下)
2.2.13(M5S5)半跪姿摆位下，可自主独立完成各单脚动态半跪姿站立起1下的活动与姿势发育。
3.2.14(M6S6)高跪姿摆位下，可自主独立完成正确交替半跪及对侧上肢抬手与数数(1~10下)的多样性活动与姿势发育。
4.(M5S5)双手协同携物及半跪姿摆位下，可自主独立完成向后半跪走3步的活动发育。
5.2.15(M5S5)任务指令要求下，可自主双手扶地维持中线蹲姿2秒的姿势发育。
6.2.16(M5S5)任务指令要求下，可自主独立维持中线蹲姿2秒的姿势发育。
7.2.17(M5S5)任务指令要求下，可自主独立完成独立连续动态全蹲站2下的活动发育。
8.2.18(M5S5)任务指令要求下，可自主独立完成扶地向前蹲走3步的活动发育。
9.2.19(M5S5)任务指令要求下，可自主独立完成独立向前蹲走3步的活动发育。
10.2.20(M5S5)任务指令要求下，可自主独立完成独立向后蹲走3步的活动发育。
</t>
        </r>
      </text>
    </comment>
    <comment ref="L6" authorId="0" shapeId="0" xr:uid="{4D453EBF-FA60-4425-8AB4-8B4A39FA0113}">
      <text>
        <r>
          <rPr>
            <sz val="9"/>
            <color indexed="81"/>
            <rFont val="Tahoma"/>
            <family val="2"/>
          </rPr>
          <t xml:space="preserve">1.穿长裤。
2.脱衣套头衫。
3.模仿画＋字。
4.沿直线剪纸。
5.拿筷子扒饭。
6.脱下衬衫。
7.扣暗扣。
8.模仿画×。
9.穿上衬衫。
10.刷牙。
11.模仿画正方形。
12.剪圆形。
13.连点成线(48个月)。
</t>
        </r>
      </text>
    </comment>
    <comment ref="M6" authorId="0" shapeId="0" xr:uid="{A2A4AF32-7EDA-4C91-82E8-3016B4D19D9A}">
      <text>
        <r>
          <rPr>
            <sz val="9"/>
            <color indexed="81"/>
            <rFont val="Tahoma"/>
            <family val="2"/>
          </rPr>
          <t xml:space="preserve">1.与其他小孩在游戏中比赛(玩参与性游戏)。
2.希望别人注意自己的表演。
3.会知道如何给小朋友一些暗示。
4.能试着安慰他人。
5.能和同伴玩简单游戏。
6.会道歉(如：做错事时会说“对不起”)。
7.有一位要好的同伴(能区分好朋友和普通朋友)。
8.遵守大人要求玩玩具或游戏规则。
9.在遭遇困难的情景，能主动要求协助。
10.会袒护、安慰朋友。
11.当要求某些物品时，会以比较适当的行为代替哭、闹的方式。
12.在拿物品或玩玩具时，会寻求许可及赞同。
</t>
        </r>
      </text>
    </comment>
    <comment ref="N6" authorId="0" shapeId="0" xr:uid="{A8F758A5-E79C-42A8-81EA-DBAD8024F795}">
      <text>
        <r>
          <rPr>
            <sz val="9"/>
            <color indexed="81"/>
            <rFont val="Tahoma"/>
            <family val="2"/>
          </rPr>
          <t xml:space="preserve">1.自己过斑马线或过街。
2.在熟悉的环境(如：幼儿园)中能和父母分离。
3.能在食物、衣服及活动中做出选择。
4.在学习时，能主动参与不强迫。
5.对不熟悉的人或新的环境不觉得害怕。
6.能说出自己常做的活动。
7.有性别角色认识。
8.能扮演自己喜欢做的事。
</t>
        </r>
      </text>
    </comment>
    <comment ref="O6" authorId="0" shapeId="0" xr:uid="{12417AD9-B26A-417C-A714-D308B462C290}">
      <text>
        <r>
          <rPr>
            <sz val="9"/>
            <color indexed="81"/>
            <rFont val="Tahoma"/>
            <family val="2"/>
          </rPr>
          <t xml:space="preserve">1.发展出爱、骄傲、内疚情绪。
2.产生出同情的感情。
3.能说出自己的全名。
4.自尊心特强。
5.记忆的自我，以自述方式出现。
6.自我概念强调特征、经历情感。
7.能了解自己的感觉。
8.能分辨自己和他人的物品。
9.能说出6种以上身体部位的名称。
</t>
        </r>
      </text>
    </comment>
    <comment ref="P6" authorId="0" shapeId="0" xr:uid="{B690B0A1-0317-40C0-AB46-E43DCCB9A9D9}">
      <text>
        <r>
          <rPr>
            <sz val="9"/>
            <color indexed="81"/>
            <rFont val="Tahoma"/>
            <family val="2"/>
          </rPr>
          <t xml:space="preserve">1.注意力变得更加持久和有计划性。
2.能在课堂活动中适当转换注意力(如：由听转至看)。
3.能注意故事中的变化。
4.能专注于小组活动20-25分钟。
5.注意力集中，能在注意转移之前专心玩游戏或者连续看20分钟电视。
</t>
        </r>
      </text>
    </comment>
    <comment ref="Q6" authorId="0" shapeId="0" xr:uid="{1FA57696-6C89-4E62-A462-8574B42D1C48}">
      <text>
        <r>
          <rPr>
            <sz val="9"/>
            <color indexed="81"/>
            <rFont val="Tahoma"/>
            <family val="2"/>
          </rPr>
          <t xml:space="preserve">1.能回忆仅看过一次的10-15个物体中的4个。
2.能记得并重复包含形容词的四个字的句子(如：你好漂亮)。
3.能在提示下，记起刚才看过故事中的一到二个重点。
4.短期记忆改进：可通过反复诵读，记住短诗和电话号码。
</t>
        </r>
      </text>
    </comment>
    <comment ref="R6" authorId="0" shapeId="0" xr:uid="{F53AAE54-7C26-4EF4-A189-65AAF0A596EA}">
      <text>
        <r>
          <rPr>
            <sz val="9"/>
            <color indexed="81"/>
            <rFont val="Tahoma"/>
            <family val="2"/>
          </rPr>
          <t xml:space="preserve">1.开始理解介词的意思，知道切一半会变成两块。
2.能唱数1-10。
3.数量概念形成的最佳时期(这时宝宝已经掌握了10以内数的概念)。
4.能理解简单的时间概念(如：白天、晚上、四季)。
</t>
        </r>
      </text>
    </comment>
    <comment ref="S6" authorId="0" shapeId="0" xr:uid="{46CD0D1D-D756-468B-98E4-F8008C997E7C}">
      <text>
        <r>
          <rPr>
            <sz val="9"/>
            <color indexed="81"/>
            <rFont val="Tahoma"/>
            <family val="2"/>
          </rPr>
          <t xml:space="preserve">1.能注意到并转换逆向思维，理解很多因果关系。
2.能区分表像和现实。
3.因果推理能力发展的快速期。
4.知道加东西会使一堆物品变多。
5.知道拿走东西会使一堆物品变少。
</t>
        </r>
      </text>
    </comment>
    <comment ref="U6" authorId="0" shapeId="0" xr:uid="{4402F643-3F89-4C84-A4A5-EE052B7E88DB}">
      <text>
        <r>
          <rPr>
            <sz val="9"/>
            <color indexed="81"/>
            <rFont val="Tahoma"/>
            <family val="2"/>
          </rPr>
          <t xml:space="preserve">1.了解〝大小〞〝上下〞〝前后〞〝里外〞。
2.能回答〝这是谁的〞〝为什么〞等问题。
3.能回答“有多少”“多久”的问题。
4.了解“昨天”“今天”的意义。
5.能看图说话。
6.能指认黑白相片中的物品。
</t>
        </r>
      </text>
    </comment>
    <comment ref="V6" authorId="0" shapeId="0" xr:uid="{31F62190-ED99-4778-8D36-CD12AF269A1A}">
      <text>
        <r>
          <rPr>
            <sz val="9"/>
            <color indexed="81"/>
            <rFont val="Tahoma"/>
            <family val="2"/>
          </rPr>
          <t xml:space="preserve">1.会用否定命令句，如：不要做…。
2.会用“这是…”来表达。
3.会用“什么时候…”的句子。
4.可解释简单图画。
5.会说1600个(多个)左右的词。
6.会说5-8个(多个)反义词。
7.说出自己的性别。
8.说出一周包括哪七天。
9.声母f、j、zh、ch、sh、z、c。
10.示范下模仿画x形。
11.照着图仿画方形。
</t>
        </r>
      </text>
    </comment>
    <comment ref="G7" authorId="0" shapeId="0" xr:uid="{94AB581B-9C5B-49F1-9448-B1AFA67D76B3}">
      <text>
        <r>
          <rPr>
            <sz val="9"/>
            <color indexed="81"/>
            <rFont val="Tahoma"/>
            <family val="2"/>
          </rPr>
          <t xml:space="preserve">1.会适当用力。
2.会漱口。
</t>
        </r>
      </text>
    </comment>
    <comment ref="H7" authorId="0" shapeId="0" xr:uid="{4CB2F461-FB0A-4415-9CCD-964D8E309C2C}">
      <text>
        <r>
          <rPr>
            <sz val="9"/>
            <color indexed="81"/>
            <rFont val="Tahoma"/>
            <family val="2"/>
          </rPr>
          <t xml:space="preserve">1.小凳子上跳下。
</t>
        </r>
      </text>
    </comment>
    <comment ref="I7" authorId="0" shapeId="0" xr:uid="{91A6EBB1-0461-4822-915A-D19B7B8E027C}">
      <text>
        <r>
          <rPr>
            <sz val="9"/>
            <color indexed="81"/>
            <rFont val="Tahoma"/>
            <family val="2"/>
          </rPr>
          <t xml:space="preserve">1.(M3S4)双手扶持梯背架及站立姿摆位下，可自主模仿双下肢交替踩踏高位横杆(超越髋关节高度)
2.(M4S4)双手扶持梯背架及高跪姿摆位下，可自主模仿双下肢交替半跪3下的活动发育。
3.2.10(M4S4)各单手扶持梯背架及高跪姿摆位下，可自主模仿双下肢交替半跪3下的活动发育。
4.(M4S4)双手扶持大龙球及高跪姿摆位下，可自主模仿双下肢交替半跪3下的活动发育。
5.2.11(M4S5)任务指令要求及高跪姿摆位下，可自主完成各单脚维持中線半跪姿2秒的姿势发育。
6.2.12(M5S5)任务指令要求及高跪姿摆位下，可自主完成独立维持中線交替半跪3下的活动发育。
</t>
        </r>
      </text>
    </comment>
    <comment ref="L7" authorId="0" shapeId="0" xr:uid="{49C7B8D7-2E1C-4144-BEA3-55B1EA86A144}">
      <text>
        <r>
          <rPr>
            <sz val="9"/>
            <color indexed="81"/>
            <rFont val="Tahoma"/>
            <family val="2"/>
          </rPr>
          <t xml:space="preserve">1.解开外套的大扣子。
2.扣上外套的大扣子。
3.穿内裤。
4.用粗线穿洞洞板。
5.用毛巾檫脸。
6.模仿画圆形。
7.在线上描绘。
</t>
        </r>
      </text>
    </comment>
    <comment ref="M7" authorId="0" shapeId="0" xr:uid="{603A75BE-076E-4947-99A0-E49D782915AD}">
      <text>
        <r>
          <rPr>
            <sz val="9"/>
            <color indexed="81"/>
            <rFont val="Tahoma"/>
            <family val="2"/>
          </rPr>
          <t xml:space="preserve">1.能根据性别年龄来称呼人，关注别人对自己的态度。
2.能协助大人清扫或擦桌子。
3.能和熟悉的大人互动，并维持互动。
4.能正确回答是男孩还是女孩。
5.会响应同伴的社会行为(如问好)。
6.遵守简单有关礼貌方面的规则(建立简单学习常规与社交能力)。
7.会找借口以逃避责罚。
8.有分离焦虑。
</t>
        </r>
      </text>
    </comment>
    <comment ref="N7" authorId="0" shapeId="0" xr:uid="{7FD8BBEA-3363-4BF4-8305-208DAECF8628}">
      <text>
        <r>
          <rPr>
            <sz val="9"/>
            <color indexed="81"/>
            <rFont val="Tahoma"/>
            <family val="2"/>
          </rPr>
          <t xml:space="preserve">1.自己能去邻居小朋友家玩。
2.能耐心等大人为他做事，不觉得不耐烦。
3.遵守简单和吃有关的规则。
4.知道自己性别。
5.对固定的作息有所回应(如：吃饭时会主动坐到桌边)。
6.能和宠物正向互动(如：摸它)。
7.能说某些情境应遵守的规则(了解学习常规)。
</t>
        </r>
      </text>
    </comment>
    <comment ref="O7" authorId="0" shapeId="0" xr:uid="{E027B5DC-933F-43BF-96C6-55927229B6A2}">
      <text>
        <r>
          <rPr>
            <sz val="9"/>
            <color indexed="81"/>
            <rFont val="Tahoma"/>
            <family val="2"/>
          </rPr>
          <t xml:space="preserve">1.当其他孩子受伤或受挫时表现出难过(发展同理心)。
2.对参与活动感到愉快(有自主学习意愿)。
3.会用语言(或发音)来表达情绪(有自主表达意愿)。
4.对自己的成就感到骄傲(有学习自信)。
5.有自我感受。
6.能说出及指出照片中的自己。
7.说出身体部位的名称。
</t>
        </r>
      </text>
    </comment>
    <comment ref="P7" authorId="0" shapeId="0" xr:uid="{738198F4-445E-439F-B178-5CCEBA01D67A}">
      <text>
        <r>
          <rPr>
            <sz val="9"/>
            <color indexed="81"/>
            <rFont val="Tahoma"/>
            <family val="2"/>
          </rPr>
          <t xml:space="preserve">1.能记得几周前发生的事。
2.能记得并重复听到的三个字的句子(如：你好吗?)。
3.能注意周围环境中的变化并和认识过程结合起来(有意义的注意开始出现)。
</t>
        </r>
      </text>
    </comment>
    <comment ref="Q7" authorId="0" shapeId="0" xr:uid="{A9A8D4F1-FBA7-4BBC-ACFE-E5CB9CF85B64}">
      <text>
        <r>
          <rPr>
            <sz val="9"/>
            <color indexed="81"/>
            <rFont val="Tahoma"/>
            <family val="2"/>
          </rPr>
          <t xml:space="preserve">1.可以流利的说出家人的姓名和职业。
</t>
        </r>
      </text>
    </comment>
    <comment ref="R7" authorId="0" shapeId="0" xr:uid="{30A02FA9-DF25-402F-A259-5A6690B10A4F}">
      <text>
        <r>
          <rPr>
            <sz val="9"/>
            <color indexed="81"/>
            <rFont val="Tahoma"/>
            <family val="2"/>
          </rPr>
          <t xml:space="preserve">1.能够认识5种以上的颜色。
2.开始理解复数名词(如:我们、你们、他们)。
3.有了多项选择能力，比如：妈妈说“把红色的皮球给我”(在之前他只知道拿红色的球却不一定是皮的)。
4.能按物品用途分类，如：吃的、穿的、玩的。
5.懂得“里、外”。
</t>
        </r>
      </text>
    </comment>
    <comment ref="S7" authorId="0" shapeId="0" xr:uid="{2D6483CB-CD99-40EA-BE43-C70669D17F90}">
      <text>
        <r>
          <rPr>
            <sz val="9"/>
            <color indexed="81"/>
            <rFont val="Tahoma"/>
            <family val="2"/>
          </rPr>
          <t xml:space="preserve">1.开始有了自我感受，但这种感受非常直接(如：妈妈骂了他，就会认为妈妈不喜欢他)。
2.热衷于搞清楚周围的人际关系。
3.能够根据性别和年龄来称呼别人(如：叔叔、阿姨等)。
4.开始关注周围人对自己的态度。
5.能用一物代替另一物当玩具(如：将筷子当成箭在射击)。
6.能依眼睛看到的资料为基础，猜出物品的名称(如：告诉孩子动物的特征，让其猜出是什么动物)。
7.能用相同的物品达到不同的功能。
</t>
        </r>
      </text>
    </comment>
    <comment ref="U7" authorId="0" shapeId="0" xr:uid="{6CBE5FDD-6836-452B-B91B-91927D8E6AC8}">
      <text>
        <r>
          <rPr>
            <sz val="9"/>
            <color indexed="81"/>
            <rFont val="Tahoma"/>
            <family val="2"/>
          </rPr>
          <t xml:space="preserve">1.能听懂有关位置、所有权及数量的问话。
2.理解故事主要情节。
3.能说出100张(或多张)左右图片名称。
</t>
        </r>
      </text>
    </comment>
    <comment ref="V7" authorId="0" shapeId="0" xr:uid="{8B857DA3-1C02-44CA-9657-2EE347581914}">
      <text>
        <r>
          <rPr>
            <sz val="9"/>
            <color indexed="81"/>
            <rFont val="Tahoma"/>
            <family val="2"/>
          </rPr>
          <t xml:space="preserve">1.会正确使用“我们”、“您们”、“他们”。
2.会用“还”、“也”、“以后”、“只好”等词句。
3.会接熟悉的语句或故事。
4.会说1000个(或多个)左右的词。
5.能说出15种(或多种)颜色名称。
6.所有孕母在3岁前已发展出来。
7.声母b、p、m、d、t、n、g、k、h已发展出来。
8.会说6-8个(或多个)字的句子。
9.会用几个“形容词”。
10.会说出物品的用途。
11.示范下模仿画圆形。
12.示范下模仿画十字。
13.出示图片表示需求。
</t>
        </r>
      </text>
    </comment>
    <comment ref="G8" authorId="0" shapeId="0" xr:uid="{CB8FD89B-9540-409F-8061-84F5C9BED503}">
      <text>
        <r>
          <rPr>
            <sz val="9"/>
            <color indexed="81"/>
            <rFont val="Tahoma"/>
            <family val="2"/>
          </rPr>
          <t xml:space="preserve">1.踢球。
</t>
        </r>
      </text>
    </comment>
    <comment ref="H8" authorId="0" shapeId="0" xr:uid="{3112CE96-2830-4CE7-A1CB-75328EB9190E}">
      <text>
        <r>
          <rPr>
            <sz val="9"/>
            <color indexed="81"/>
            <rFont val="Tahoma"/>
            <family val="2"/>
          </rPr>
          <t xml:space="preserve">1.灵活原地双脚跳。
2.灵活沿直线跪走。
</t>
        </r>
      </text>
    </comment>
    <comment ref="I8" authorId="0" shapeId="0" xr:uid="{6C515939-EE47-44F2-9487-7F5CD349F4A9}">
      <text>
        <r>
          <rPr>
            <sz val="9"/>
            <color indexed="81"/>
            <rFont val="Tahoma"/>
            <family val="2"/>
          </rPr>
          <t xml:space="preserve">1.(M2S3)被动扶持衣领及高跪姿摆位下，可任务诱导(镜像模仿)维持中线向前跪走3步的活动发育。
2.2.8(M3S3)独立高跪姿摆位下，可任务诱导(镜像模仿)维持中线向前跪走3步的活动发育。
3.2.9(M3S3)独立高跪姿摆位下，可任务诱导(镜像模仿)自主独立向后跪走3步的活动发育。
4.(M3S3)双手携物及高跪姿摆位下，可任务诱导(镜像模仿)自主独立向前跪走3步的活动发育。
5.(M3S3)双手携物及高跪姿摆位下，可任务诱导(镜像模仿)自主独立向后跪走3步的活动发育。
6.(M3S3)双手携物及跪坐姿摆位下，可任务诱导(镜像模仿)自主独立向前跪坐走3步的活动发育。
</t>
        </r>
      </text>
    </comment>
    <comment ref="L8" authorId="0" shapeId="0" xr:uid="{60944863-15FC-4249-AC99-1824D43E7DFF}">
      <text>
        <r>
          <rPr>
            <sz val="9"/>
            <color indexed="81"/>
            <rFont val="Tahoma"/>
            <family val="2"/>
          </rPr>
          <t xml:space="preserve">1.使用剪刀，可剪断15公分的纸。
2.能将8块积木迭高。
3.能将9块积木迭高。
4.会旋开瓶盖。
5.脱下内裤。
6.穿上没有鞋带的鞋子。
7.用粗绳子穿木珠。
8.穿袜子。
9.可以接住一个大球。
</t>
        </r>
      </text>
    </comment>
    <comment ref="M8" authorId="0" shapeId="0" xr:uid="{689E5578-6FB2-4A8F-809B-CB406902D410}">
      <text>
        <r>
          <rPr>
            <sz val="9"/>
            <color indexed="81"/>
            <rFont val="Tahoma"/>
            <family val="2"/>
          </rPr>
          <t xml:space="preserve">1.能主动问候熟悉的人。
2.主动找小朋友玩但不会合作。
3.对幼小孩子会保护。
4.无法继续玩玩具(或无法继续读绘本)或参与活动会哭。
5.当被问到谁是(孩子的名字)时会指认镜子中的自己。
6.会告状。
</t>
        </r>
      </text>
    </comment>
    <comment ref="N8" authorId="0" shapeId="0" xr:uid="{046A2C02-CF25-4B6F-A5C0-C14F906AE7AC}">
      <text>
        <r>
          <rPr>
            <sz val="9"/>
            <color indexed="81"/>
            <rFont val="Tahoma"/>
            <family val="2"/>
          </rPr>
          <t xml:space="preserve">1.能在两个不感兴趣的活动中做出选择。
2.逐渐希望得到父母喜爱。
3.能忍受饥饿或口渴等生理需求。
4.知道自己的年龄。
5.能注意性别的不同。
</t>
        </r>
      </text>
    </comment>
    <comment ref="O8" authorId="0" shapeId="0" xr:uid="{933A6DCA-3CA7-47D6-84B1-D387E97D595D}">
      <text>
        <r>
          <rPr>
            <sz val="9"/>
            <color indexed="81"/>
            <rFont val="Tahoma"/>
            <family val="2"/>
          </rPr>
          <t xml:space="preserve">1.快乐也可以分化发展出喜悦。
2.对他人的情感做出反应。
3.当被问到你叫什么名字时,会回答(认识自我)。
4.能正确描述自己(了解自我)。
</t>
        </r>
      </text>
    </comment>
    <comment ref="P8" authorId="0" shapeId="0" xr:uid="{674B03A8-51E2-4559-A1BB-4533E315EBD8}">
      <text>
        <r>
          <rPr>
            <sz val="9"/>
            <color indexed="81"/>
            <rFont val="Tahoma"/>
            <family val="2"/>
          </rPr>
          <t xml:space="preserve">1.能注意到内心思想与外部事件的差异(知道别人不见了是去别的地方，而不是消失)。
2.能专注与游戏5-10分钟。
</t>
        </r>
      </text>
    </comment>
    <comment ref="Q8" authorId="0" shapeId="0" xr:uid="{6E840BD4-734A-46C3-9259-DBD46C6E4AA9}">
      <text>
        <r>
          <rPr>
            <sz val="9"/>
            <color indexed="81"/>
            <rFont val="Tahoma"/>
            <family val="2"/>
          </rPr>
          <t xml:space="preserve">1.能记住家里(或手机)的电话号码。
2.能唱一些儿歌，试着背一些简单的唐诗。
3.出现背诵，能熟练地背1-2首唐诗。
</t>
        </r>
      </text>
    </comment>
    <comment ref="R8" authorId="0" shapeId="0" xr:uid="{093B8823-9524-4F91-850B-B8CB172A4673}">
      <text>
        <r>
          <rPr>
            <sz val="9"/>
            <color indexed="81"/>
            <rFont val="Tahoma"/>
            <family val="2"/>
          </rPr>
          <t xml:space="preserve">1.理解一些礼貌用语(如:谢谢、你好、再见)。
2.知道“大”、“小”知道圆、方、三角形。
3.知道大人和小孩的区别，也知道小盒子可以放在大盒子里。
4.对多和少的概念非常明确了。
5.知道“上、下”，比较多少、长短。
</t>
        </r>
      </text>
    </comment>
    <comment ref="S8" authorId="0" shapeId="0" xr:uid="{4A71BFC4-2F75-4870-BA3E-7DED199DF0FC}">
      <text>
        <r>
          <rPr>
            <sz val="9"/>
            <color indexed="81"/>
            <rFont val="Tahoma"/>
            <family val="2"/>
          </rPr>
          <t xml:space="preserve">1.有简单的是非观念，知道打人不好。
2.能在游戏中实验因果关系(如：玩踩气球时，球会破)。
</t>
        </r>
      </text>
    </comment>
    <comment ref="U8" authorId="0" shapeId="0" xr:uid="{BC53C8F8-DB68-4D9F-AF67-4C454DA8907E}">
      <text>
        <r>
          <rPr>
            <sz val="9"/>
            <color indexed="81"/>
            <rFont val="Tahoma"/>
            <family val="2"/>
          </rPr>
          <t xml:space="preserve">1.了解〝上〞下〞〝里面〞旁边〞等位置观念。
2.知道在什么场合通常做什么事。
3.理解常用词汇300个(多个)左右。
4.知道〝明天〞指的不是〝现在〞。
5.会回答〝谁在做什么〞的问句。
</t>
        </r>
      </text>
    </comment>
    <comment ref="V8" authorId="0" shapeId="0" xr:uid="{BF8A7371-F162-4ED9-B679-CE82F7E2B6FD}">
      <text>
        <r>
          <rPr>
            <sz val="9"/>
            <color indexed="81"/>
            <rFont val="Tahoma"/>
            <family val="2"/>
          </rPr>
          <t xml:space="preserve">1.发展出完整句(简单句→复杂句→复合句)。
2.会问“这是什么？”。
3.会问“谁”、“哪里”、“做什么”等句子。
4.会用且说“这个”“那个”等句子。
5.能在指定范围内涂鸦。
</t>
        </r>
      </text>
    </comment>
    <comment ref="G9" authorId="0" shapeId="0" xr:uid="{49B8BAAB-0466-4E2C-924E-31D5BFAF722D}">
      <text>
        <r>
          <rPr>
            <sz val="9"/>
            <color indexed="81"/>
            <rFont val="Tahoma"/>
            <family val="2"/>
          </rPr>
          <t xml:space="preserve">1.蹲站交替动作时不需他人协助。
</t>
        </r>
      </text>
    </comment>
    <comment ref="H9" authorId="0" shapeId="0" xr:uid="{2CB0604B-BA5C-4CCE-9BD0-280D546A2378}">
      <text>
        <r>
          <rPr>
            <sz val="9"/>
            <color indexed="81"/>
            <rFont val="Tahoma"/>
            <family val="2"/>
          </rPr>
          <t xml:space="preserve">1.灵活小跑步。
2.原地双脚跳。
3.沿直线跪走3步。
4.半跪姿双手可掷出小球。
</t>
        </r>
      </text>
    </comment>
    <comment ref="I9" authorId="0" shapeId="0" xr:uid="{5A705BBC-8BA8-4992-BEF7-C8ADF983B65E}">
      <text>
        <r>
          <rPr>
            <sz val="9"/>
            <color indexed="81"/>
            <rFont val="Tahoma"/>
            <family val="2"/>
          </rPr>
          <t xml:space="preserve">1.(M2S3)双手自主扶持高位固定物品及站立姿摆位下，可任务诱导(镜像模仿)双下肢交替抬脚3下
2.(M2S3)双手扶持高位移行物品及站立姿摆位下，可任务诱导(镜像模仿)双上肢自主推行物品向前
3.(M2S3)双手扶持低位移行物品及高跪姿摆位下，可任务诱导(镜像模仿)自主推行物品向前跪走3
4.(M2S3)各单手自主扶持高位固定物品及站立姿摆位下，可任务诱导(镜像模仿)双下肢交替抬脚3下
5.(M2S3)被动扶持衣领及站立姿摆位下，可任务诱导(镜像模仿)维持中线向前行走3步的活动发育。
6.2.7(M2S3)各单手被动扶持站立姿摆位下，可任务诱导(镜像模仿)维持中线向前行走3步的活动发育。
</t>
        </r>
      </text>
    </comment>
    <comment ref="J9" authorId="0" shapeId="0" xr:uid="{5FC4164C-F4CD-40EE-8E9F-94E90C278219}">
      <text>
        <r>
          <rPr>
            <sz val="9"/>
            <color indexed="81"/>
            <rFont val="Tahoma"/>
            <family val="2"/>
          </rPr>
          <t xml:space="preserve">1.惯用手已形成。(右手；左手)
</t>
        </r>
      </text>
    </comment>
    <comment ref="K9" authorId="0" shapeId="0" xr:uid="{82465D53-6901-4C5E-8CD4-CC97C9FDDD7D}">
      <text>
        <r>
          <rPr>
            <sz val="9"/>
            <color indexed="81"/>
            <rFont val="Tahoma"/>
            <family val="2"/>
          </rPr>
          <t xml:space="preserve">1.用双手转门把。
2.脱下未扣扣子的外套。
3.用一手转门把。(右手；左手)
4.脱下裤子。
5.可一页一页的翻薄书。(右手；左手)
</t>
        </r>
      </text>
    </comment>
    <comment ref="L9" authorId="0" shapeId="0" xr:uid="{660B518D-F064-418A-9B7B-F794C987885D}">
      <text>
        <r>
          <rPr>
            <sz val="9"/>
            <color indexed="81"/>
            <rFont val="Tahoma"/>
            <family val="2"/>
          </rPr>
          <t xml:space="preserve">1.能将5块积木迭高。
2.能将6块积木迭高。
3.能将7块积木迭高。
4.可上下左右涂圈圈。
5.模仿画圆形线条。
6.将三角形嵌入洞内。
7.上玩具发条。
8.拉下拉链。
9.剥开糖果包装纸。
10.照样本,画横线。
</t>
        </r>
      </text>
    </comment>
    <comment ref="M9" authorId="0" shapeId="0" xr:uid="{E70F8F67-0170-4070-8827-9798747B0925}">
      <text>
        <r>
          <rPr>
            <sz val="9"/>
            <color indexed="81"/>
            <rFont val="Tahoma"/>
            <family val="2"/>
          </rPr>
          <t xml:space="preserve">1.被欺负时会设法抵抗或还手。
2.对其他孩子会表示同情或安慰。
3.会有时黏着大人，有时推开大人不要大人管。
4.会为其他人表演。
5.和其他孩子牵手或自动到外面玩。
6.会拒绝喂食的协助。
7.与人对话时转换注视(会随着说话人转换注视的方向)。
8.会笑自己或别人的好笑动作。
9.发怪声或做奇怪的动作引别人笑。
10.会自发与同伴分享物品或食物。
11.会表达感谢。
12.会主动和大人互动。
13.会在要求下捡玩具。
14.会愿意与人合作。
15.会表达要或不要。
16.模仿做家事。
17.在探索环境时，会用口语或其他方式(如：拉大人)寻求大人协助。
18.用口语来表达饥饿或口渴等生理需求。
19.会用抓住大人手或其他方式，要求大人注意。
</t>
        </r>
      </text>
    </comment>
    <comment ref="N9" authorId="0" shapeId="0" xr:uid="{36C9A92F-618B-472E-8E78-11FEC12BF5F2}">
      <text>
        <r>
          <rPr>
            <sz val="9"/>
            <color indexed="81"/>
            <rFont val="Tahoma"/>
            <family val="2"/>
          </rPr>
          <t xml:space="preserve">1.当觉得安全时，会探索一个新的环境。
2.会用一个字(或发音)表达情绪。
3.会帮忙做一些简单家事。
4.会选择要的玩具。
5.有简单是非观念。
6.能短暂等待不哭闹。
7.知道在某些地方从事某活动。
8.知道家庭每天固定的作息(生活常规的建立)。
9.会用手势表达需要。
10.能在两样物品中做出选择。
11.能观察同伴(如：看别的小朋友玩)。
</t>
        </r>
      </text>
    </comment>
    <comment ref="O9" authorId="0" shapeId="0" xr:uid="{BF1736CD-C359-4DF3-90D9-5127DD44B549}">
      <text>
        <r>
          <rPr>
            <sz val="9"/>
            <color indexed="81"/>
            <rFont val="Tahoma"/>
            <family val="2"/>
          </rPr>
          <t xml:space="preserve">1.有被伤害的意识。
2.出现最初的憎恨和爱。
3.可通过一些外部特征认出自己(年龄、性别)。
4.当被问到是谁(孩子的名字)时，会指向自己。
5.意识到自己和他人不同。
6.会摸镜中自己的形象。
7.会正确描述自己身体部位。
8.参与小朋友游戏和对环境探索意愿增高。
</t>
        </r>
      </text>
    </comment>
    <comment ref="P9" authorId="0" shapeId="0" xr:uid="{BC52D5A4-4AED-4251-B1AF-69D491F4068D}">
      <text>
        <r>
          <rPr>
            <sz val="9"/>
            <color indexed="81"/>
            <rFont val="Tahoma"/>
            <family val="2"/>
          </rPr>
          <t xml:space="preserve">1.能集中注意看电视15分钟左右,且已无意识注意为主。
2.能发现并注意到身边的新物品，对周围事物兴趣进一步增强。
3.能模仿划船等更复杂的动作。
4.能模仿大人画出线条、圆圈、尽管画得不到位。
5.能独立玩玩具(或其他喜好物品)15分钟。
</t>
        </r>
      </text>
    </comment>
    <comment ref="Q9" authorId="0" shapeId="0" xr:uid="{1D6ECCE6-9BCB-49C9-BA20-67E52246C486}">
      <text>
        <r>
          <rPr>
            <sz val="9"/>
            <color indexed="81"/>
            <rFont val="Tahoma"/>
            <family val="2"/>
          </rPr>
          <t xml:space="preserve">1.能听讲熟悉的故事，唱熟悉的儿歌。
2.能记住生活中东西放的地方。
3.看到熟悉的图片(如：小鸭子、小兔子、苹果等能叫出名字)。
4.能记住自己床的位置以及厕所的位置。
5.能记住5个步骤的顺序。
</t>
        </r>
      </text>
    </comment>
    <comment ref="R9" authorId="0" shapeId="0" xr:uid="{6C819726-34CD-42D1-A494-88A49B1F53C5}">
      <text>
        <r>
          <rPr>
            <sz val="9"/>
            <color indexed="81"/>
            <rFont val="Tahoma"/>
            <family val="2"/>
          </rPr>
          <t xml:space="preserve">1.认识日常吃的食物、所用的餐具、玩具以及常用的交通工具。
2.能用“你、我、他”这些人称代词。
3.能用副词“现在”“一点儿”“特别”来更准确的表达自己的意思。
</t>
        </r>
      </text>
    </comment>
    <comment ref="S9" authorId="0" shapeId="0" xr:uid="{BE72B7D6-605D-46CD-A759-E8DA7D11395B}">
      <text>
        <r>
          <rPr>
            <sz val="9"/>
            <color indexed="81"/>
            <rFont val="Tahoma"/>
            <family val="2"/>
          </rPr>
          <t xml:space="preserve">1.能解决简单的因果关系问题。
2.找到在看不见的时候移走的物体。
3.能从环境线索来推论一件事(如:看到妈妈拿起包时，就知道妈妈要出去了)。
</t>
        </r>
      </text>
    </comment>
    <comment ref="T9" authorId="0" shapeId="0" xr:uid="{139CD8E1-9E55-4A29-A3DC-6C281C15136A}">
      <text>
        <r>
          <rPr>
            <sz val="9"/>
            <color indexed="81"/>
            <rFont val="Tahoma"/>
            <family val="2"/>
          </rPr>
          <t xml:space="preserve">1.会自己吃、喝、吸管喝水。
2.舌头舔嘴唇。
3.不流口水。
</t>
        </r>
      </text>
    </comment>
    <comment ref="U9" authorId="0" shapeId="0" xr:uid="{3BC608BA-E859-4669-8A0C-6EAF9A80D5BB}">
      <text>
        <r>
          <rPr>
            <sz val="9"/>
            <color indexed="81"/>
            <rFont val="Tahoma"/>
            <family val="2"/>
          </rPr>
          <t xml:space="preserve">1.能理解一般问话(如：那是什么？)。
2.了解动词+名词的句子(如：丢球)。
3.理解“我”并会用。
4.知道玩伴的名字。
5.能听懂最简单的故事。
6.会按指示办事(连续的3件)。(简单的指令听从能力)
7.在照片中可指认熟识的人。
8.认得出电视上常见之物。
</t>
        </r>
      </text>
    </comment>
    <comment ref="V9" authorId="0" shapeId="0" xr:uid="{B6DF1C72-877B-49B5-97AD-1C9EC4BED00F}">
      <text>
        <r>
          <rPr>
            <sz val="9"/>
            <color indexed="81"/>
            <rFont val="Tahoma"/>
            <family val="2"/>
          </rPr>
          <t xml:space="preserve">1.开始出现了由双词或三词组合在一起的语句(即：电报句)。
2.会说谢谢，会用言语要求别人做什么。
3.说出身体部位(2-3个)。
4.会回答最简单的问题。
5.会用在人、食物、玩具上的形容词、副词。
6.会重复句子的最后两个字。
7.会说3-5个字句子。
8.会回答生活上的问题。
9.听完故事后，能说出讲的是什么人、什么事。
10.示范下模仿画直线。
11.示范下模仿画横线。
</t>
        </r>
      </text>
    </comment>
    <comment ref="G10" authorId="0" shapeId="0" xr:uid="{36FC46A9-7AE8-451F-9021-7EF66CF75217}">
      <text>
        <r>
          <rPr>
            <sz val="9"/>
            <color indexed="81"/>
            <rFont val="Tahoma"/>
            <family val="2"/>
          </rPr>
          <t xml:space="preserve">1.优势手出现。
2.手肘弯曲往前用力掷出小球给对方。
3.自己拿杯子喝水，汤勺进食。
4.能了解并做出一般社交性的动作，如：亲亲、抱抱的。
5.知道自己身体的位置及身体各部位的功能。
6.双侧做不同方向动作。
7.会想办法拿物品。
8.两侧协同分工合作完成操作(主手、副手)。
9.小跑步时协调(已具备稳定的行走姿态)。
</t>
        </r>
      </text>
    </comment>
    <comment ref="H10" authorId="0" shapeId="0" xr:uid="{19FF293C-9035-4281-83E8-BFCCFB8A1DD4}">
      <text>
        <r>
          <rPr>
            <sz val="9"/>
            <color indexed="81"/>
            <rFont val="Tahoma"/>
            <family val="2"/>
          </rPr>
          <t xml:space="preserve">1.双手、双膝爬阶梯两阶(出现攀爬)。
2.长坐姿转头可维持平衡。
3.手伸到头上方掷出小球，能维持身体平衡。
</t>
        </r>
      </text>
    </comment>
    <comment ref="I10" authorId="0" shapeId="0" xr:uid="{DF9C29D2-6FD5-4439-905A-249C7F72FF84}">
      <text>
        <r>
          <rPr>
            <sz val="9"/>
            <color indexed="81"/>
            <rFont val="Tahoma"/>
            <family val="2"/>
          </rPr>
          <t xml:space="preserve">1.(M2S2)双手自主扶持高位固定物品摆位下，可情境诱导维持中线站立姿2秒的姿势发育。
2.(M2S2)双手自主扶墙面及高跪姿摆位下，可情境诱导双上肢交替玩弄墙面物品3下的
3.2.6(M2S2)跪坐姿摆位下，可情境诱导独立维持中线高跪姿2秒的姿势发育。
4.(M2S2)独立高跪姿摆位下，可情境诱导双上肢交替玩弄前方物品3下的活动发育。
</t>
        </r>
      </text>
    </comment>
    <comment ref="J10" authorId="0" shapeId="0" xr:uid="{72B732B5-6835-4636-902C-1AEEA24F2EDD}">
      <text>
        <r>
          <rPr>
            <sz val="9"/>
            <color indexed="81"/>
            <rFont val="Tahoma"/>
            <family val="2"/>
          </rPr>
          <t xml:space="preserve">1.同时在中线使用双手。
2.一手拿东西一手操作。
</t>
        </r>
      </text>
    </comment>
    <comment ref="K10" authorId="0" shapeId="0" xr:uid="{359825FD-4C59-4926-8443-598F60B92731}">
      <text>
        <r>
          <rPr>
            <sz val="9"/>
            <color indexed="81"/>
            <rFont val="Tahoma"/>
            <family val="2"/>
          </rPr>
          <t xml:space="preserve">1.掷小皮球给对方。
2.拿杯子喝水。(右手；左手)
3.抓握笔涂鸦。
4.抓握笔画直线。(右手；左手)
</t>
        </r>
      </text>
    </comment>
    <comment ref="L10" authorId="0" shapeId="0" xr:uid="{AE046C22-EA31-472C-B01C-083814B20F60}">
      <text>
        <r>
          <rPr>
            <sz val="9"/>
            <color indexed="81"/>
            <rFont val="Tahoma"/>
            <family val="2"/>
          </rPr>
          <t xml:space="preserve">1.反复放置同一根插棒。
2.将三根小木棍插入有孔板中。
3.将圆形、正方形积木放在相同形状的凹洞。
4.会打开盒子。
5.能伸手到容器内取物。
6.能将2块积木迭高。
7.能将3块积木迭高。
8.能将4块积木迭高。
9.将正方形几何积木嵌入洞内。
10.可将物品放入横向的洞。
11.可穿3个珠珠。
</t>
        </r>
      </text>
    </comment>
    <comment ref="M10" authorId="0" shapeId="0" xr:uid="{85E4C4D1-4808-412B-BC98-8AD4833ACAEB}">
      <text>
        <r>
          <rPr>
            <sz val="9"/>
            <color indexed="81"/>
            <rFont val="Tahoma"/>
            <family val="2"/>
          </rPr>
          <t xml:space="preserve">1.会主动拿物品给人。
2.对同伴的动作或口语有反应(如：会停止活动或注意)。
3.会接近大人。
4.能给大人一个吻。
5.加入小孩群体中时会很高兴。
6.能辨别父母脸上认可或不认可的表情(如：父母皱眉头表示不行)。
7.会寻找不见的父母(如：会一直问父母在哪里)。
8.偶而在集体中玩，会等待不吵闹。
9.会对睡觉抗拒，怕与大人分开。
</t>
        </r>
      </text>
    </comment>
    <comment ref="N10" authorId="0" shapeId="0" xr:uid="{745A8EBF-1EDA-48A7-A647-2221B6707D0E}">
      <text>
        <r>
          <rPr>
            <sz val="9"/>
            <color indexed="81"/>
            <rFont val="Tahoma"/>
            <family val="2"/>
          </rPr>
          <t xml:space="preserve">1.坚持要自己吃东西。
2.会短暂离开大人视线。
3.散步时能注意路上东西。
4.睡觉要抱心爱玩具(或其他喜好物品)。
</t>
        </r>
      </text>
    </comment>
    <comment ref="O10" authorId="0" shapeId="0" xr:uid="{BDE4E435-CF43-493A-9612-E54619461952}">
      <text>
        <r>
          <rPr>
            <sz val="9"/>
            <color indexed="81"/>
            <rFont val="Tahoma"/>
            <family val="2"/>
          </rPr>
          <t xml:space="preserve">1.痛苦又可分化发展出嫉妒。
2.能用单词(或发音)表达情绪。
3.发展出害羞和挑战。
4.知道他人的情绪可能和自己情绪有所不同。
5.会对自己有正向性评价。
</t>
        </r>
      </text>
    </comment>
    <comment ref="P10" authorId="0" shapeId="0" xr:uid="{5A9E9F35-5F5E-4306-9A9D-F0A29C354B4A}">
      <text>
        <r>
          <rPr>
            <sz val="9"/>
            <color indexed="81"/>
            <rFont val="Tahoma"/>
            <family val="2"/>
          </rPr>
          <t xml:space="preserve">1.有趣事物的注意力可达5-8分钟。
2.能模仿翻书页。
3.能模仿做游戏和擦桌子，可以和大人边做事边玩。
4.能模仿拍手、踏脚、学鸟飞等动作。
</t>
        </r>
      </text>
    </comment>
    <comment ref="Q10" authorId="0" shapeId="0" xr:uid="{197FA6F3-6BDC-418F-8C6C-B58A3C3BB0F8}">
      <text>
        <r>
          <rPr>
            <sz val="9"/>
            <color indexed="81"/>
            <rFont val="Tahoma"/>
            <family val="2"/>
          </rPr>
          <t xml:space="preserve">1.能记住日常接触的动物、人、玩具的名称，包括亲人的名字。
2.能记住动画片中的部分内容(记得最清楚的是人物的名字)。
</t>
        </r>
      </text>
    </comment>
    <comment ref="R10" authorId="0" shapeId="0" xr:uid="{DA59074A-0CB9-48BF-8F35-EF67E2E84270}">
      <text>
        <r>
          <rPr>
            <sz val="9"/>
            <color indexed="81"/>
            <rFont val="Tahoma"/>
            <family val="2"/>
          </rPr>
          <t xml:space="preserve">1.能听懂近50个常用词(如：车、船、房子、花、鸟、树等)。
2.能分辨狗和猫的差异，卡车和公共汽车的差异。
3.认识并正确指认经常接触的动物、玩具,以及自己的五官和四肢。
</t>
        </r>
      </text>
    </comment>
    <comment ref="S10" authorId="0" shapeId="0" xr:uid="{69D7C5CD-8E63-4960-873F-DDD3C3B16021}">
      <text>
        <r>
          <rPr>
            <sz val="9"/>
            <color indexed="81"/>
            <rFont val="Tahoma"/>
            <family val="2"/>
          </rPr>
          <t xml:space="preserve">1.能依物体性质进行活动尝试错误，并积累经验减少错误。
2.能够根据物品的用途给物品配对。
</t>
        </r>
      </text>
    </comment>
    <comment ref="T10" authorId="0" shapeId="0" xr:uid="{E4424831-28BF-4B7E-A8CF-36EB5BF20852}">
      <text>
        <r>
          <rPr>
            <sz val="9"/>
            <color indexed="81"/>
            <rFont val="Tahoma"/>
            <family val="2"/>
          </rPr>
          <t xml:space="preserve">1.舌头可舔唇上的食物。
2.可咀嚼煮得很烂的肉。
3.可能会咬住杯子保持下颌稳定。
4.吸奶、吞咽、呼吸配合很好。
5.咀嚼时上下唇可以闭住不打开。
6.下颌稳定度发展，随食物软硬控制咬的力量。
7.可用汤匙或手吃的津津有味，成熟的咀嚼动作可软硬都吃。
8.舌头、嘴唇可以独立动作。
</t>
        </r>
      </text>
    </comment>
    <comment ref="U10" authorId="0" shapeId="0" xr:uid="{BE8798ED-E5AB-4C0B-8FF0-FD30E210354E}">
      <text>
        <r>
          <rPr>
            <sz val="9"/>
            <color indexed="81"/>
            <rFont val="Tahoma"/>
            <family val="2"/>
          </rPr>
          <t xml:space="preserve">1.了解50个单字(理解但不能主动说出)。
2.知道大部份物品的名称。
3.在要求下，会指出熟悉的东西。
4.会遵从简单的指示。
5.了解一般动作(如：亲亲/抱抱)。
6.指认常见物。
7.能指认4种动作图片。
8.在图片中指出并说出熟悉的物体。
9.认出照片中的自己。
10.能指实物，辨识图形(圆/方)。
</t>
        </r>
      </text>
    </comment>
    <comment ref="V10" authorId="0" shapeId="0" xr:uid="{5C579F91-526D-4F7F-A160-9E6ADF7DF0EE}">
      <text>
        <r>
          <rPr>
            <sz val="9"/>
            <color indexed="81"/>
            <rFont val="Tahoma"/>
            <family val="2"/>
          </rPr>
          <t xml:space="preserve">1.以手势+动作+单字来表达。
2.开始说出有意义的单词,多用同一迭词在不同的情境表示几种不同的意思。
3.单音重迭一词多义以词代句。
4.名词多,动词少。
5.会模仿听过的声音/话语。
6.能说出自己的名字(不带姓)。
7.会哼哼唱唱。
8.主动说出50-100个(多个)左右的词。
9.模仿日常动作以动作反应。
</t>
        </r>
      </text>
    </comment>
    <comment ref="D11" authorId="0" shapeId="0" xr:uid="{FB24B0EE-CAA9-4166-8B75-61196EE63A74}">
      <text>
        <r>
          <rPr>
            <sz val="9"/>
            <color indexed="81"/>
            <rFont val="Tahoma"/>
            <family val="2"/>
          </rPr>
          <t xml:space="preserve">1.视觉对比敏感度，达到成人水平。
2.会持续注视物品的去向。
3.能将图形积木放入积木凹槽内。
4.当他的面把东西藏起来，会去寻找。
5.在注视下把玩具藏起来，过一阵会去寻找。
6.能记住东西摆放的位置。
</t>
        </r>
      </text>
    </comment>
    <comment ref="E11" authorId="0" shapeId="0" xr:uid="{CA6F9C4E-2E3E-4456-9013-4033341CE66A}">
      <text>
        <r>
          <rPr>
            <sz val="9"/>
            <color indexed="81"/>
            <rFont val="Tahoma"/>
            <family val="2"/>
          </rPr>
          <t xml:space="preserve">1.听阈值25-35分貝(DB)。
2.听到叫别人的名字会反应。
3.听到大部分物品的名称会反应。
4.听到叫他时会过来(包含滚动、爬行、跪走、走路)。
5.会遵照听到的指令拿玩具给某人。
</t>
        </r>
      </text>
    </comment>
    <comment ref="F11" authorId="0" shapeId="0" xr:uid="{EADF4BFD-417C-40CD-BBDC-32F0CBADE06E}">
      <text>
        <r>
          <rPr>
            <sz val="9"/>
            <color indexed="81"/>
            <rFont val="Tahoma"/>
            <family val="2"/>
          </rPr>
          <t xml:space="preserve">1.把玩具放入口中的机率逐渐减少。
2.触觉和其他感觉联系在一起使用，通过看、听、摸顺利的完成任务。
3.能感觉到或粗略指出被触碰的身体部位。
4.通过不断的触摸，简单理解物品的用法和玩法。
</t>
        </r>
      </text>
    </comment>
    <comment ref="G11" authorId="0" shapeId="0" xr:uid="{87DBF306-EA2D-4BA8-B1B8-2D6B6E2D17DB}">
      <text>
        <r>
          <rPr>
            <sz val="9"/>
            <color indexed="81"/>
            <rFont val="Tahoma"/>
            <family val="2"/>
          </rPr>
          <t xml:space="preserve">1.闭眼后会粗略指出身体部位(头、脚、手等)。
2.扶家具可站立起和行走取物。
3.站立时，脚支撑与平衡身体。
4.把玩具粗略地放入指定的位置。
5.动作模仿-用肢体表示喝水、吃饭(正确使用日常物品)。
6.指尖有力，可撕纸。
7.双侧同向动作敲打，举手。
8.食指伸直按开关，其余手指弯曲。
9.模仿连续拍手。
10.双侧协同灵活操作(用力得当、方向准确)。
11.指尖用力可脱下袜子。
12.会自己喂食。
</t>
        </r>
      </text>
    </comment>
    <comment ref="H11" authorId="0" shapeId="0" xr:uid="{844EF905-BCAF-4BBA-A6B3-915D56F1D501}">
      <text>
        <r>
          <rPr>
            <sz val="9"/>
            <color indexed="81"/>
            <rFont val="Tahoma"/>
            <family val="2"/>
          </rPr>
          <t xml:space="preserve">1.熟练爬行保持身体的平衡。
2.自由转移姿势(坐、站、爬等)。
3.可攀物可站起来。
4.站立跨出1步，扑入大人怀中。
5.可跨步行走姿态(用双脚来支撑与维持平衡身体)。
6.由前方将他向后推45度，一或双手向后支撑不致跌倒。
7.转身拿背后的玩具不会失去平衡。
8.独立站立姿1分钟不会失去平衡。
</t>
        </r>
      </text>
    </comment>
    <comment ref="I11" authorId="0" shapeId="0" xr:uid="{78093856-BFE6-4E87-BA03-7199494D6922}">
      <text>
        <r>
          <rPr>
            <sz val="9"/>
            <color indexed="81"/>
            <rFont val="Tahoma"/>
            <family val="2"/>
          </rPr>
          <t xml:space="preserve">1.2.1(M1S2)俯趴及双侧肢体支撑地面摆位下，可情境诱导维持中线四点支撑爬姿2秒的姿势发育。
2.(M1S2)可情境诱导独立维持中线跪坐姿(双手无保护性支撑地面)2秒的姿势发育。
3.(M1S2)可情境诱导独立维持中线长坐姿(双膝伸直)2秒的姿势发育。
4.(M1S2)双手保护性扶持抓握物品摆位下，可情境诱导中线高跪姿2秒的姿势发育。
5.2.2(M2S2)可情境诱导独立维持中线爬行3步的活动发育。
6.2.3(M2S2)双手自主扶持高位固定物品摆位下，可情境诱导维持中線高跪姿2秒的姿势发育。
7.2.4(M2S2)双手扶持高位固定物品摆位下，可情境诱导自主推行物品向前跪走3步的活动发育。
8.(M2S2)独立跪坐姿摆位下，可情境诱导双上肢交替玩弄前方物品3下的活动发育。
9.2.5(M2S2)各单手被动扶持摆位下，可情境诱导维持中线向前跪走3步的活动发育。
10.(M2S2)独立长坐姿(双膝伸直)摆位下，可情境诱导双上肢交替玩弄前方物品3下的活动发育。
</t>
        </r>
      </text>
    </comment>
    <comment ref="J11" authorId="0" shapeId="0" xr:uid="{2220722E-D62F-4408-8304-26D4EDEFD47A}">
      <text>
        <r>
          <rPr>
            <sz val="9"/>
            <color indexed="81"/>
            <rFont val="Tahoma"/>
            <family val="2"/>
          </rPr>
          <t xml:space="preserve">1.约略出惯用手。(右手；左手)
2.一手握有一物后再拿第二物。
3.会旋转手腕。(右手；左手)
4.用一手抓两样物品。
5.能丢东西。(右手；左手)
</t>
        </r>
      </text>
    </comment>
    <comment ref="K11" authorId="0" shapeId="0" xr:uid="{A5F6E2FE-8942-48AB-BE5A-FAD138B7A83D}">
      <text>
        <r>
          <rPr>
            <sz val="9"/>
            <color indexed="81"/>
            <rFont val="Tahoma"/>
            <family val="2"/>
          </rPr>
          <t xml:space="preserve">1.适当的握住蜡笔。
2.模仿拿笔乱涂鸦。(右手；左手)
</t>
        </r>
      </text>
    </comment>
    <comment ref="L11" authorId="0" shapeId="0" xr:uid="{5DF70B96-3C38-4B81-A54A-834BE566EF1D}">
      <text>
        <r>
          <rPr>
            <sz val="9"/>
            <color indexed="81"/>
            <rFont val="Tahoma"/>
            <family val="2"/>
          </rPr>
          <t xml:space="preserve">1.会翻厚书一次一页。
2.会推玩小汽车。
3.指尖可持续用力。
4.会悬腕用拇食指取物。
5.会用姆指及食指尖抓小物品。
6.把东西放在容器里。
</t>
        </r>
      </text>
    </comment>
    <comment ref="M11" authorId="0" shapeId="0" xr:uid="{D0FC8CC4-8435-4E9B-BD25-516E91FD1117}">
      <text>
        <r>
          <rPr>
            <sz val="9"/>
            <color indexed="81"/>
            <rFont val="Tahoma"/>
            <family val="2"/>
          </rPr>
          <t xml:space="preserve">1.会跟着别人的动作，以单纯会的动作或简单的声音做反应。
2.会相互微笑。
3.学走时怕与母亲分开。
4.会模仿成人一些简单手势和语言。
5.当别人笑时，会重复表演(如：敲东西)。
6.能和大人挥手再见。
7.会对别人的警告而抑制自己行为。
8.会学习其他儿童的行为和声音。
9.对大人的逗弄会点头、动嘴、伸舌及摆动身体。
10.见陌生人会害羞。
11.会和其他小孩一起玩。
12.见到陌生人不再惊恐，会依大人吩咐拍手、再见。
13.会牙牙学语回应父母的话。
14.会想动手触摸对方。
15.会在要求下把物品给人。
16.会用情绪与大人沟通(如：用发脾气表达想睡觉)。
17.会出现互动的行为(如：大笑、打手势、模仿)。
18.开始与大人玩平衡游戏。
</t>
        </r>
      </text>
    </comment>
    <comment ref="N11" authorId="0" shapeId="0" xr:uid="{E763478E-C051-4757-93F6-B7126E4D8949}">
      <text>
        <r>
          <rPr>
            <sz val="9"/>
            <color indexed="81"/>
            <rFont val="Tahoma"/>
            <family val="2"/>
          </rPr>
          <t xml:space="preserve">1.会抓别人衣服、玩具。
2.没人管时，会做自己的事。
3.会以手指出要去的地方或东西。
4.会抓汤匙。
5.可拉下头上的帽子。
6.会抱怨失去玩具或与大人分开。
</t>
        </r>
      </text>
    </comment>
    <comment ref="O11" authorId="0" shapeId="0" xr:uid="{7CD5FDBC-AE95-4553-B141-A11097D49440}">
      <text>
        <r>
          <rPr>
            <sz val="9"/>
            <color indexed="81"/>
            <rFont val="Tahoma"/>
            <family val="2"/>
          </rPr>
          <t xml:space="preserve">1.理解大人脸上的表情是高兴还是生气。
2.快乐又可以分为是高兴还是喜欢。
3.会逃避或接近来调节情绪。
4.感情更丰富，初步有害怕、生气、喜爱、忌妒等情感。
5.能解读他人情绪的讯息以决定自己的行为。
6.移情出现:能对他人的情绪有所认识而共鸣或响应(如：安慰他人)。
7.对镜子感兴趣但对镜中的自我不感兴趣。
8.会通过动作和身体的一致性认出自己。
9.会认识自己是永久存在的，具有稳定、连续的特征。
10.听到名字时，会知道有反应(如：停止活动注意听)。
11.对镜中自我形象很感兴趣。
</t>
        </r>
      </text>
    </comment>
    <comment ref="P11" authorId="0" shapeId="0" xr:uid="{0949E09E-2370-4655-82B9-7A21E24288AE}">
      <text>
        <r>
          <rPr>
            <sz val="9"/>
            <color indexed="81"/>
            <rFont val="Tahoma"/>
            <family val="2"/>
          </rPr>
          <t xml:space="preserve">1.对感兴趣的事物会长时间的观察。
2.能准确判断声源的方向，并用两眼看声源。
3.出现摆弄物品。
4.在听到一段音乐之后能模仿一些事，包括模仿动物的叫声。
</t>
        </r>
      </text>
    </comment>
    <comment ref="Q11" authorId="0" shapeId="0" xr:uid="{50D44870-82CC-43FD-BB5D-68B2A1E0428E}">
      <text>
        <r>
          <rPr>
            <sz val="9"/>
            <color indexed="81"/>
            <rFont val="Tahoma"/>
            <family val="2"/>
          </rPr>
          <t xml:space="preserve">1.能认识属于自己的玩具、衣物。
2.能找到家里的常见东西(如：电视机在哪里？)。
3.能记住短小的故事，但往往是机械式的无意识记忆。
4.能记得几天前的事。
</t>
        </r>
      </text>
    </comment>
    <comment ref="R11" authorId="0" shapeId="0" xr:uid="{24D29F48-8DE4-4DA2-AE01-811220E4E423}">
      <text>
        <r>
          <rPr>
            <sz val="9"/>
            <color indexed="81"/>
            <rFont val="Tahoma"/>
            <family val="2"/>
          </rPr>
          <t xml:space="preserve">1.大约能听懂20个字左右。
2.能将词音与具体事物联系起来。
3.能准确分辨“红、绿、黄、蓝”四色。
4.知道常见物品的名称并会指认。
5.能听懂“拿”“坐”“给”等动词。
</t>
        </r>
      </text>
    </comment>
    <comment ref="S11" authorId="0" shapeId="0" xr:uid="{0C393CC9-2960-4956-B12E-B22EFFB60980}">
      <text>
        <r>
          <rPr>
            <sz val="9"/>
            <color indexed="81"/>
            <rFont val="Tahoma"/>
            <family val="2"/>
          </rPr>
          <t xml:space="preserve">1.能够寻找隐藏起来的物品。
2.开始建立时间、空间和因果关系(如：看到倒水盆里就知道等待洗澡)。
3.可以用类推来解决问题(即取得来自一个问题的策略然后把它应用于其他相关的问题)。
4.拿掉积木的盒子玩积木。
</t>
        </r>
      </text>
    </comment>
    <comment ref="T11" authorId="0" shapeId="0" xr:uid="{D15E65AE-3967-419E-BAD6-6C3AA71F34E6}">
      <text>
        <r>
          <rPr>
            <sz val="9"/>
            <color indexed="81"/>
            <rFont val="Tahoma"/>
            <family val="2"/>
          </rPr>
          <t xml:space="preserve">1.舌头有旋转动作。
2.咀嚼能力增强。
3.吸奶、吞咽、呼吸配合进步，咬软食控制好些。
4.嘴唇闭合能力成熟维持紧闭。
5.稳定地控制喝水速度。
6.喝水有进步，因下颌的稳定性仍不够，要么就张口很大要喝水，要么就是口腔开合困难不好喝水
</t>
        </r>
      </text>
    </comment>
    <comment ref="U11" authorId="0" shapeId="0" xr:uid="{0C85965E-C68D-4063-A0D5-9A88E0F55ADF}">
      <text>
        <r>
          <rPr>
            <sz val="9"/>
            <color indexed="81"/>
            <rFont val="Tahoma"/>
            <family val="2"/>
          </rPr>
          <t xml:space="preserve">1.听懂常见物及人的名称。
2.叫他时会过来(包含滚动、爬行、跪走、走路)。
3.听得懂不可以、不行、不要等意思。
4.向他索取东西时，知道给。
5.认识常见物。
6.能看懂一些简单的动作或手势，而有所反应。
7.可以看图认字活动。
8.可从书中认识图画和颜色。
</t>
        </r>
      </text>
    </comment>
    <comment ref="V11" authorId="0" shapeId="0" xr:uid="{1CC97B26-A991-4230-B0ED-38C3B46045D4}">
      <text>
        <r>
          <rPr>
            <sz val="9"/>
            <color indexed="81"/>
            <rFont val="Tahoma"/>
            <family val="2"/>
          </rPr>
          <t xml:space="preserve">1.能发出同一音节的不同音调即二声、三声、四声。
2.能模仿发音。※初期萌芽的模仿能力。
3.语音和具体物链接有一定意思。
4.能模仿动物的叫声。※初期萌芽的模仿能力。
5.有意识的发几个字音，出现难懂的话。
6.能用食指指物。
</t>
        </r>
      </text>
    </comment>
    <comment ref="D12" authorId="0" shapeId="0" xr:uid="{A99306BE-112C-46AB-8555-78AF5E6F9451}">
      <text>
        <r>
          <rPr>
            <sz val="9"/>
            <color indexed="81"/>
            <rFont val="Tahoma"/>
            <family val="2"/>
          </rPr>
          <t xml:space="preserve">1.认识家人(主要照顾的几人)。
2.可从大照片中认出妈妈。
3.开始对陌生人出现怕生害羞的反应。
4.随着大人的视线或手势，而注意某人或物。
5.会用手指要去的方向。
6.会找藏在手帕正下方的玩具。
7.面对陌生人会害羞、害怕。
8.会主动拿着手帕玩躲猫猫的游戏。
9.仰躺抬头巡视四周。
10.前方有玩具会准确伸手取拿(实物)。
11.看到喂食时有张口期待的反应。
12.以各种可能的移位方式，到达目的拿自己想要的东西。
13.能跟别人一起玩滚球、拍气球等。
14.挥手表示再见(动作模仿)。
15.面对陌生大人会害羞怕。
</t>
        </r>
      </text>
    </comment>
    <comment ref="E12" authorId="0" shapeId="0" xr:uid="{7CD697BC-0B30-49D3-898C-E2A74F68B723}">
      <text>
        <r>
          <rPr>
            <sz val="9"/>
            <color indexed="81"/>
            <rFont val="Tahoma"/>
            <family val="2"/>
          </rPr>
          <t xml:space="preserve">1.听阈值35-40分貝(DB)。
2.会模仿发某些音。
3.寻找侧面、下面的声源。
4.放在耳边较少声音会寻找。
5.对动物叫声、车声、下雨声表示关心。
6.隔壁传来声或远处呼唤他的名字可立即转头。
7.无意听到某种声会尝试模仿发音。
8.听到熟悉的声音、语汇会反应(人物、吃的、玩具等)。
9.模仿发简单熟悉的声音。
</t>
        </r>
      </text>
    </comment>
    <comment ref="F12" authorId="0" shapeId="0" xr:uid="{672F41D0-AB24-4C48-A2B4-71ADAEB0F3C6}">
      <text>
        <r>
          <rPr>
            <sz val="9"/>
            <color indexed="81"/>
            <rFont val="Tahoma"/>
            <family val="2"/>
          </rPr>
          <t xml:space="preserve">1.身体、双手与嘴共同感觉周围环境。
2.出现四处爬行感觉。
3.出现手掌到处探索摸、玩。
4.出现手握挤、转物品感觉。
5.触觉感觉，用手指指尖操作(夹、捡、撕等活动)。
6.区分冷热(吃过冷与过热的奶、水时会哭)。
7.尿湿时会哭(区分干湿)。
8.对轻拍或拥抱等安抚性刺激，会表现愉悦的感觉。
</t>
        </r>
      </text>
    </comment>
    <comment ref="G12" authorId="0" shapeId="0" xr:uid="{C3D23C0F-F1FA-491A-81EA-B1A4329E0B7A}">
      <text>
        <r>
          <rPr>
            <sz val="9"/>
            <color indexed="81"/>
            <rFont val="Tahoma"/>
            <family val="2"/>
          </rPr>
          <t xml:space="preserve">1.出現扶着跪，腿有力的跪立。
2.手腕会旋转。
3.会抓放东西(用力、方向适当)。
4.能自如的释放手中之物或掷出手中之物。
5.能自己拿东西吃。
6.会把简单的东西组合起来。
7.一手支撑一手拿东西，双手做不一样动作。
8.手部协调活动，交换拿东西。
9.双手拿物品互相敲击。
10.双手双膝支撑(四点)爬行。
11.用手指着远方物体，想办法移动身体去拿。
12.模仿做简单的动作。
13.手腕与手指独立动作。
14.配合穿衣。
15.肢体表达：手指、手遮、手挥。
</t>
        </r>
      </text>
    </comment>
    <comment ref="H12" authorId="0" shapeId="0" xr:uid="{0D27CDE7-CE83-443C-8D47-6F09DC943534}">
      <text>
        <r>
          <rPr>
            <sz val="9"/>
            <color indexed="81"/>
            <rFont val="Tahoma"/>
            <family val="2"/>
          </rPr>
          <t xml:space="preserve">1.灵活由仰卧转换成俯卧姿。
2.灵活的翻滚动身体达到移位的目的。
3.灵活从躺姿翻转成坐姿。
4.灵活爬行移位拿东西。
5.灵活从仰或俯卧姿翻身坐起，转换趴姿或爬姿。
6.坐左右晃的电动车保持头直立。
7.失去平衡时出现自我保护反应，会伸手预防自己倒下。
8.由背后往后拉倾斜，会将头及手向前以取得身体平衡。
9.坐姿双手玩玩具时，能维持坐姿平衡。
</t>
        </r>
      </text>
    </comment>
    <comment ref="I12" authorId="0" shapeId="0" xr:uid="{34629952-7355-4ED8-BA0D-43970F11E02D}">
      <text>
        <r>
          <rPr>
            <sz val="9"/>
            <color indexed="81"/>
            <rFont val="Tahoma"/>
            <family val="2"/>
          </rPr>
          <t xml:space="preserve">1.1.7 (M0S2)盘坐姿势摆位下，可情境诱导双上肢协同支撑地面2秒的姿势发育。
2.1.8 (M0S2)跪坐姿势摆位下，可情境诱导双上肢协同支撑地面2秒的姿势发育。
3.1.9 (M1S2)可情境诱导独立维持中线平面椅具(无靠背)2秒坐立姿的姿势发育。
4.1.10(M1S2)下半身俯趴楔形垫及双上肢支撑地面摆位下，可情境诱导双上肢交替玩弄物品3下的活动
5.1.11(M1S2)双手部被动扶持摆位下，可情境诱导中线站立姿2秒的姿势发育。
6.1.12(M1S2)双手部被动扶持摆位下，可情境诱导中线高跪姿2秒的姿势发育。
7.(M1S2)双上臂被动扶持摆位下，可情境诱导向前跪走3步的活动发育。
8.1.13(M1S2)双手部被动扶持摆位下，可情境诱导向前跪走3步的活动发育。
9.(M1S2)俯趴地面摆位下，可情境诱导双上肢协同支撑地面2秒的姿势发育。
10.1.14(M1S2)俯趴地面摆位下，可情境诱导双上肢交替支撑地面并向后坐立起1下的活动发育。
</t>
        </r>
      </text>
    </comment>
    <comment ref="J12" authorId="0" shapeId="0" xr:uid="{77B7313D-EA44-40DB-9061-22746F47E5CC}">
      <text>
        <r>
          <rPr>
            <sz val="9"/>
            <color indexed="81"/>
            <rFont val="Tahoma"/>
            <family val="2"/>
          </rPr>
          <t xml:space="preserve">1.具备手眼协调能力。
2.将玩具由一手移至另一手。
3.用拇指、食指、中指和手掌抓住较小东西。
4.自己拿饼干吃。
5.用拇指、食指和中指抓拿东西。
6.能控制释放手中物，掷出手中物。
7.用姆指和食指的内侧面取物。
8.手指和手腕能独立做动作。
9.双手各自玩玩具，相互敲打。
10.手腕可稍向上翘。
11.连续拍掌3次。
12.能依物品重量大小调整抓握能力。
</t>
        </r>
      </text>
    </comment>
    <comment ref="K12" authorId="0" shapeId="0" xr:uid="{07339870-6AB5-485A-88F2-682A65922928}">
      <text>
        <r>
          <rPr>
            <sz val="9"/>
            <color indexed="81"/>
            <rFont val="Tahoma"/>
            <family val="2"/>
          </rPr>
          <t xml:space="preserve">1.用一手抓纸揉成一团。
</t>
        </r>
      </text>
    </comment>
    <comment ref="L12" authorId="0" shapeId="0" xr:uid="{86978FA5-DFFD-465E-AAB0-B3DAB8ECA696}">
      <text>
        <r>
          <rPr>
            <sz val="9"/>
            <color indexed="81"/>
            <rFont val="Tahoma"/>
            <family val="2"/>
          </rPr>
          <t xml:space="preserve">1.在知道物体的方向，不用眼看可拿到物。
</t>
        </r>
      </text>
    </comment>
    <comment ref="M12" authorId="0" shapeId="0" xr:uid="{CD69E4BE-70BE-4F97-A8C7-F58CFF50651A}">
      <text>
        <r>
          <rPr>
            <sz val="9"/>
            <color indexed="81"/>
            <rFont val="Tahoma"/>
            <family val="2"/>
          </rPr>
          <t xml:space="preserve">1.出现喜欢熟人，但无区分的接受所有人的关注。
2.当陌生人靠近会哭或转开。
3.会玩躲猫猫。
4.当大人要拿走玩具时，会表现出抗拒(如：抓住不放)。
5.会寻求自己喜欢的人接近与接触。
6.看到陌生人时，会显示强烈的依赖母亲。
7.当看到照顾者离开，会注意及发出声音。
8.当听到名字时会转头注视及笑。
</t>
        </r>
      </text>
    </comment>
    <comment ref="N12" authorId="0" shapeId="0" xr:uid="{C2647F81-232B-41D5-A6C5-BF3C200A9C08}">
      <text>
        <r>
          <rPr>
            <sz val="9"/>
            <color indexed="81"/>
            <rFont val="Tahoma"/>
            <family val="2"/>
          </rPr>
          <t xml:space="preserve">1.陌生环境离开父母时会哭及寻找。
2.会设法取较远的玩具。
3.会摸镜中自己的影像。
</t>
        </r>
      </text>
    </comment>
    <comment ref="O12" authorId="0" shapeId="0" xr:uid="{FE970F3B-00A5-4891-98A0-604FFC4649FD}">
      <text>
        <r>
          <rPr>
            <sz val="9"/>
            <color indexed="81"/>
            <rFont val="Tahoma"/>
            <family val="2"/>
          </rPr>
          <t xml:space="preserve">1.发展出高兴和愤怒。
2.发出不同情绪的声音。
3.会恐惧陌生人。
4.对自己和他人的区分更加巩固。
</t>
        </r>
      </text>
    </comment>
    <comment ref="P12" authorId="0" shapeId="0" xr:uid="{25C5066F-8F9F-4F29-B2E2-AE13BD626159}">
      <text>
        <r>
          <rPr>
            <sz val="9"/>
            <color indexed="81"/>
            <rFont val="Tahoma"/>
            <family val="2"/>
          </rPr>
          <t xml:space="preserve">1.注意的范围更广，会把注意力集中到他感兴趣的玩具和事物上。
2.能随物体上下，左右移动。
3.开始厌烦做熟悉的事情，转向未知领域。
4.可以模仿大人的声音。
5.可以坐在地板上专心致志地玩自己感兴趣的玩具。
</t>
        </r>
      </text>
    </comment>
    <comment ref="Q12" authorId="0" shapeId="0" xr:uid="{B543C0EC-4DED-4EA1-A1B8-8FC77F8811D5}">
      <text>
        <r>
          <rPr>
            <sz val="9"/>
            <color indexed="81"/>
            <rFont val="Tahoma"/>
            <family val="2"/>
          </rPr>
          <t xml:space="preserve">1.具备物体的恒存性，能意识到看不见的物体依然存在。
2.能够辨别人物面孔的细微的差别。
3.视觉记忆提高，喜欢认图片。
4.能记住父母重复多次的讲话或动作。
5.能模仿24小时之前看到的某个榜样。
</t>
        </r>
      </text>
    </comment>
    <comment ref="R12" authorId="0" shapeId="0" xr:uid="{00E5AD0D-39BB-48F1-A0DD-E14D4DB7F346}">
      <text>
        <r>
          <rPr>
            <sz val="9"/>
            <color indexed="81"/>
            <rFont val="Tahoma"/>
            <family val="2"/>
          </rPr>
          <t xml:space="preserve">1.懂得“不”字的概念。
2.能辨别物体大小、形状及移动速度。
3.能区别简单的几何图形，观察物体的不同形状。
4.可以认识自我，以及自己与别人的不同(自我意识萌芽)。
5.如果让婴儿对着镜子照一会儿，然后将红颜色涂在他的鼻子上，婴儿会摸自己的鼻子。
6.对上升和下降的概念有初步的了解。
7.能够大概指认自己的五官。
8.有了最初的自我意识萌芽(尚未精熟的动作认知)。
</t>
        </r>
      </text>
    </comment>
    <comment ref="S12" authorId="0" shapeId="0" xr:uid="{500910C4-5182-4877-BC00-7DD9D2EB916A}">
      <text>
        <r>
          <rPr>
            <sz val="9"/>
            <color indexed="81"/>
            <rFont val="Tahoma"/>
            <family val="2"/>
          </rPr>
          <t xml:space="preserve">1.发展出有意的手段—目的行动序列。利用他们来解决简单的问题(如拉一块布来获得放在它远端的玩具)。
2.理解大人面部表情。
3.出现用新方法玩玩具(或玩其他类似物品)。
</t>
        </r>
      </text>
    </comment>
    <comment ref="T12" authorId="0" shapeId="0" xr:uid="{4A76AD94-C777-4648-A1FB-FDB478FCB4E7}">
      <text>
        <r>
          <rPr>
            <sz val="9"/>
            <color indexed="81"/>
            <rFont val="Tahoma"/>
            <family val="2"/>
          </rPr>
          <t xml:space="preserve">1.唇紧闭，水杯喝水不漏水。
2.舌头灵活，咀嚼固体食物及饼干。
3.口腔动作已较能控制，双唇会从汤匙上抿下食物。
4.舌头已是成熟的上下动方式但咀嚼仍不协调。
</t>
        </r>
      </text>
    </comment>
    <comment ref="U12" authorId="0" shapeId="0" xr:uid="{2675F99A-4730-4C34-8C6B-F8F2A33C1811}">
      <text>
        <r>
          <rPr>
            <sz val="9"/>
            <color indexed="81"/>
            <rFont val="Tahoma"/>
            <family val="2"/>
          </rPr>
          <t xml:space="preserve">1.对简单的要求有适当的反应(如：吃、挥手再见)。
2.听懂成人语言并配合辨别语调表情的判断(配合情景)。
3.记忆能力加强以了解字义。
4.能听懂几个字，包括自己的名字及家庭成员的称呼。
5.能区分肯定句与问句的语气。
6.认识家人。
7.可以从照片中认出妈妈。
8.随着大人的视线或手势，注意某人或某物。
9.理解大人表情。
</t>
        </r>
      </text>
    </comment>
    <comment ref="V12" authorId="0" shapeId="0" xr:uid="{E17BE42B-48C2-4E2D-8C27-E50AECD25559}">
      <text>
        <r>
          <rPr>
            <sz val="9"/>
            <color indexed="81"/>
            <rFont val="Tahoma"/>
            <family val="2"/>
          </rPr>
          <t xml:space="preserve">1.说出第一个单字，看人连结成bɑ、mɑ。
2.有意图的非口语的语词行为。
3.会发出咳嗽声、咕噜声、尖叫。
4.能模仿他人的脸部表情、动作和声音。※初期萌芽的模仿能力。
5.以动作要求抱。
6.以注视、及寻找物品的方式表达所要的东西。
</t>
        </r>
      </text>
    </comment>
    <comment ref="D13" authorId="0" shapeId="0" xr:uid="{41A99992-B001-4277-9CEE-72323F5071D4}">
      <text>
        <r>
          <rPr>
            <sz val="9"/>
            <color indexed="81"/>
            <rFont val="Tahoma"/>
            <family val="2"/>
          </rPr>
          <t xml:space="preserve">1.看到东西会伸手拿。
2.看不到人时会哭，看到人时停止哭。
3.对四大类别色彩光谱有感觉(红、蓝、绿、黄)。
4.看30公分距离外，上下左右移动物品。
5.到陌生地方会好奇四处张望。
6.拿玩具给他显得高兴活泼起来。
7.寻找掉落的东西。
8.出現玩躲猫猫的游戏。
</t>
        </r>
      </text>
    </comment>
    <comment ref="E13" authorId="0" shapeId="0" xr:uid="{2681AE18-F149-4B61-B3A9-59AE7664E5AF}">
      <text>
        <r>
          <rPr>
            <sz val="9"/>
            <color indexed="81"/>
            <rFont val="Tahoma"/>
            <family val="2"/>
          </rPr>
          <t xml:space="preserve">1.听阈值40-50分貝(DB)。
2.对他的名字有回应。
3.辨识父母的声音。
4.听到逐渐接近的脚步声而兴奋。
5.可听出熟悉声音中的改变。
6.头会迅速转向声源。
7.对他说话时，尝试模仿发音反应。
8.听到叫自己名字有反应。
</t>
        </r>
      </text>
    </comment>
    <comment ref="F13" authorId="0" shapeId="0" xr:uid="{86E7C97E-F679-4E60-9740-A0B7114291B2}">
      <text>
        <r>
          <rPr>
            <sz val="9"/>
            <color indexed="81"/>
            <rFont val="Tahoma"/>
            <family val="2"/>
          </rPr>
          <t xml:space="preserve">1.双手与嘴共同来感觉周围环境。
2.口腔接受半流质的食物。
3.双手愿意各自抓住物品，并放入口中感觉。
4.双手互相的搓、捏着玩、吸吮双手。
5.吃手吃脚。
6.可吃软食、饼干等。
7.出现伸手拿玩具玩。
8.触摸不同形状、不同质感的物品。
9.咬玩具。
10.出现将玩具放入口中。
</t>
        </r>
      </text>
    </comment>
    <comment ref="G13" authorId="0" shapeId="0" xr:uid="{2D420304-08FF-4A98-AA26-7A38CBFBF966}">
      <text>
        <r>
          <rPr>
            <sz val="9"/>
            <color indexed="81"/>
            <rFont val="Tahoma"/>
            <family val="2"/>
          </rPr>
          <t xml:space="preserve">1.玩手、玩脚。
2.口腔爱咬玩具。
3.手、嘴和眼睛相互配合探索自己的身体、玩具、周围环境。
4.双手抱住自己的脚。
5.尝试蠕爬,原地打转。
6.双手各自自主的张开手拿玩具。
7.手中握玩具15秒。
8.双手握杯自己喝奶。
9.吸奶时不会漏奶(双唇力气)。
10.拍手时双手能在中线互碰。
11.手的旁边放有物品，会去拿(如：摇铃)。
12.放下手中之物，换拿另一物。
13.一手握有物品，会用另一手去拿另一物品。
</t>
        </r>
      </text>
    </comment>
    <comment ref="H13" authorId="0" shapeId="0" xr:uid="{0329F39E-8C3D-4086-A59D-D073E8D7E26F}">
      <text>
        <r>
          <rPr>
            <sz val="9"/>
            <color indexed="81"/>
            <rFont val="Tahoma"/>
            <family val="2"/>
          </rPr>
          <t xml:space="preserve">1.看到东西会伸手拿(与空间概念有关连)。
2.趴着时，会一手撑上半身重量，另一手伸向玩具，玩玩具。
3.拿着玩具敲敲打打，会摇铃。
4.撑住他的背部，头部直立并可以转头。
5.俯趴摆位，双手肘协同支撑观看前方喜好物品或视频。
6.俯趴摆位，双上肢协同支撑观看前方喜好物品或视频。
</t>
        </r>
      </text>
    </comment>
    <comment ref="I13" authorId="0" shapeId="0" xr:uid="{84D8EAD7-8E1A-4ECF-9F50-4864E8338063}">
      <text>
        <r>
          <rPr>
            <sz val="9"/>
            <color indexed="81"/>
            <rFont val="Tahoma"/>
            <family val="2"/>
          </rPr>
          <t xml:space="preserve">1.1.3(M0S2)俯趴摆位下，可情境诱导自主从俯趴姿势至仰躺姿势翻身1下的活动发育。
2.1.4(M0S2)仰卧摆位下，可情境诱导自主从仰躺姿势至俯趴姿势翻身1下的活动发育。
3.1.5(M0S2)俯趴摆位下，可情境诱导双手肘协同支撑地面2秒观看前方喜好物品或视频的姿势发育。
4.1.6(M0S2)腹部及下半身俯趴楔形垫摆位下，可情境诱导双上肢协同支撑地面2秒的姿势发育。
5.(M0S2)俯趴地面及抬头观看前方视频摆位下，可情境诱导双手肘协同支撑地面2秒的姿势发育。
6.(M0S2)双手肘协同支撑地面摆位下，可情境诱导双上肢交替玩弄前方物品3下的活动发育。
</t>
        </r>
      </text>
    </comment>
    <comment ref="J13" authorId="0" shapeId="0" xr:uid="{F301A2D9-A708-4C49-B031-8CFF1168EB33}">
      <text>
        <r>
          <rPr>
            <sz val="9"/>
            <color indexed="81"/>
            <rFont val="Tahoma"/>
            <family val="2"/>
          </rPr>
          <t xml:space="preserve">1.看手抓东西，取物入口。
2.用无名指、小指和手掌抓住东西。
3.两手可各自抓物。
4.用姆指以外的四指和手掌抓住东西。
5.会敲打玩具。
6.用姆指、食指、中指和手掌抓住较大的东西。
7.手抓脚放在口中。
</t>
        </r>
      </text>
    </comment>
    <comment ref="L13" authorId="0" shapeId="0" xr:uid="{72FA802C-8B65-444A-B5A2-F73E59A47EFC}">
      <text>
        <r>
          <rPr>
            <sz val="9"/>
            <color indexed="81"/>
            <rFont val="Tahoma"/>
            <family val="2"/>
          </rPr>
          <t xml:space="preserve">1.看物伸手触摸。
2.伸出手时会准确的碰触物体。
3.物体在视野内会跨中线取物。
</t>
        </r>
      </text>
    </comment>
    <comment ref="M13" authorId="0" shapeId="0" xr:uid="{EECD0AF1-D2E1-436E-A6AE-E04A7CD3CB93}">
      <text>
        <r>
          <rPr>
            <sz val="9"/>
            <color indexed="81"/>
            <rFont val="Tahoma"/>
            <family val="2"/>
          </rPr>
          <t xml:space="preserve">1.婴儿会相互注视甚至触摸，但视人如物且更喜欢物体。
2.主动伸手要喜欢的人抱。
3.看到人有反应(如高兴、笑、出声等)。
4.有人靠近会表现出很高兴。
5.听到熟悉人的脚步声会减少哭。
6.对人有不同的反应。
7.会注视与其说话的人。
8.听到大人生气的声音会哭。
9.会和同伴相互触摸、观望。
10.会分辨父母与其他人。
11.会对熟悉的人伸出手。
12.抓痒、抱或语言游戏时会笑。
13.对大人的笑脸会以笑回应。
14.注视大人离开或房间走动。
15.对熟悉的人比对陌生人有更多的反应。
16.会制造声音、笑、眼神接触或身体语言来吸引注意。
17.听到说话会转向说话者。
18.对熟悉人较常出声笑及要求抱。
19.期待有人与他亲近(如：抱他)。
20.做出吸引别人注意的事。
21.会比大人先笑。
22.婴儿间彼此微笑和发出“呀呀”声音。
23.会主动摸熟悉大人的脸。
24.此时最爱与人交往。
</t>
        </r>
      </text>
    </comment>
    <comment ref="N13" authorId="0" shapeId="0" xr:uid="{2B3839C3-B66F-4F98-A083-DBCC9C292692}">
      <text>
        <r>
          <rPr>
            <sz val="9"/>
            <color indexed="81"/>
            <rFont val="Tahoma"/>
            <family val="2"/>
          </rPr>
          <t xml:space="preserve">1.个人或在陌生环境时会哭。
2.会对镜子中的影像笑。
3.会注意其他孩子的存在。
4.会用注视、抓或语言表达对玩具或物品的兴趣。
</t>
        </r>
      </text>
    </comment>
    <comment ref="O13" authorId="0" shapeId="0" xr:uid="{0AA589C5-B7F2-486D-893D-5F6C57498422}">
      <text>
        <r>
          <rPr>
            <sz val="9"/>
            <color indexed="81"/>
            <rFont val="Tahoma"/>
            <family val="2"/>
          </rPr>
          <t xml:space="preserve">1.能根据外界事物作出相应的表情。
2.会转移专注力以调节情绪。
3.会主动笑。
4.发展出担忧的情绪。
5.痛苦的情绪会发展出，有害怕，厌恶，愤怒，悲伤，恐惧。
6.听懂自己名字。
7.自我意识开始发展。
8.会自己拿饼干吃。
</t>
        </r>
      </text>
    </comment>
    <comment ref="P13" authorId="0" shapeId="0" xr:uid="{CAA7E6C1-1634-41AE-9CB7-EF631C65B61B}">
      <text>
        <r>
          <rPr>
            <sz val="9"/>
            <color indexed="81"/>
            <rFont val="Tahoma"/>
            <family val="2"/>
          </rPr>
          <t xml:space="preserve">1.对周围玩具和物品会表示出浓厚的兴趣。
2.开始出现主动的视觉集中。
3.手中玩具掉了会寻找。
4.听到妈妈叫自己会努力的用眼睛去寻找。
5.会模仿爸爸妈妈的表情。
</t>
        </r>
      </text>
    </comment>
    <comment ref="Q13" authorId="0" shapeId="0" xr:uid="{1A922422-CEC1-4502-978D-3C04BAAD8DE2}">
      <text>
        <r>
          <rPr>
            <sz val="9"/>
            <color indexed="81"/>
            <rFont val="Tahoma"/>
            <family val="2"/>
          </rPr>
          <t xml:space="preserve">1.能识别妈妈和面容熟悉的人以及经常玩的玩具。
2.能够记住父母的行为方式，并会受到不良刺激的影响。
3.能觉察到玩具被别人拿走(而4-5个月时不能觉察少什么)。
4.能逐渐记住简单的事情，不提醒也可以重复相同的步骤。
</t>
        </r>
      </text>
    </comment>
    <comment ref="R13" authorId="0" shapeId="0" xr:uid="{ED3EE2E4-6A6C-43DC-B1D0-4DCE74D5CB88}">
      <text>
        <r>
          <rPr>
            <sz val="9"/>
            <color indexed="81"/>
            <rFont val="Tahoma"/>
            <family val="2"/>
          </rPr>
          <t xml:space="preserve">1.对物体开始有完整的概念，当他看到一只手从沙发后伸出来时，就知道沙发后有人。
</t>
        </r>
      </text>
    </comment>
    <comment ref="S13" authorId="0" shapeId="0" xr:uid="{249E91B4-BFBF-48D9-8622-8FEBEFFCDB00}">
      <text>
        <r>
          <rPr>
            <sz val="9"/>
            <color indexed="81"/>
            <rFont val="Tahoma"/>
            <family val="2"/>
          </rPr>
          <t xml:space="preserve">1.对生气或大声有反应(如：会哭)。
2.辨别陌生人能力加强。
3.有东西挡着自己视线时会试着拿开。
4.能理解大人对自己说话的态度。
</t>
        </r>
      </text>
    </comment>
    <comment ref="T13" authorId="0" shapeId="0" xr:uid="{C0297DFC-45B6-4CBF-98F7-98CA776E4FED}">
      <text>
        <r>
          <rPr>
            <sz val="9"/>
            <color indexed="81"/>
            <rFont val="Tahoma"/>
            <family val="2"/>
          </rPr>
          <t xml:space="preserve">1.脸颊与嘴唇的肌肉控制能力有明显进步。
2.舌头仍以前后动为主，咀嚼动作仍不成熟。
3.看汤匙进入口中，舌头会吮动。
4.吸奶、吞咽还不行，有时会吐。
5.口腔动作仍是反射动作—流口水、牛奶溢出、哽呛动作不协调。
</t>
        </r>
      </text>
    </comment>
    <comment ref="U13" authorId="0" shapeId="0" xr:uid="{E600AE0C-818A-4384-93A9-370CF1516090}">
      <text>
        <r>
          <rPr>
            <sz val="9"/>
            <color indexed="81"/>
            <rFont val="Tahoma"/>
            <family val="2"/>
          </rPr>
          <t xml:space="preserve">1.对他人的语音有回应。
2.对他人语调的变化有反应(如：愤怒、嘻笑、悲伤)。
3.对自己的名字有反应。
4.认得妈妈。
5.对友善的脸报以微笑。
6.注视物品。
</t>
        </r>
      </text>
    </comment>
    <comment ref="V13" authorId="0" shapeId="0" xr:uid="{BCDA4158-012A-455B-A1F4-75402622E073}">
      <text>
        <r>
          <rPr>
            <sz val="9"/>
            <color indexed="81"/>
            <rFont val="Tahoma"/>
            <family val="2"/>
          </rPr>
          <t xml:space="preserve">1.自我仿音，能用不同的声音来表达需求。
2.夜间哭声减少。
3.进入呀呀学语阶段，能将辅音和元音结合连续发出（如辅音b和元音a结合连续发出形成bɑ-bɑ-bɑ，mɑ-mɑ-mɑ）类似爸、妈的单音节语音。
4.看见熟人、玩具能发出声音。
5.会喃喃儿语。
6.白天哭声减少。
7.用眼睛寻找。
8.以动作表情与人打招呼。
</t>
        </r>
      </text>
    </comment>
    <comment ref="D14" authorId="0" shapeId="0" xr:uid="{5E01DEEB-F574-4B37-8302-FF7A65932D41}">
      <text>
        <r>
          <rPr>
            <sz val="9"/>
            <color indexed="81"/>
            <rFont val="Tahoma"/>
            <family val="2"/>
          </rPr>
          <t xml:space="preserve">1.视力为0.1,可见30公分内距离的物体,注视距离为1.5米。
2.会注视看30公分对他讲话的人脸。
3.注视距离为4~7米。
4.对亮与暗有视觉反应。
5.对快速到来的物体会眨眼睛。
6.偏好扫视轮廓而非内部(注视大方格，人脸)。
7.认识长期照顾自己的人(妈)。
8.对他吐舌数次模仿类似的动作。
9.扫描物体内部。
10.视觉注视5秒。
11.注视移动中的物体约1-3秒。
12.主动搜寻视觉刺激，好奇看。
13.目光从一个物体移向另一物体。
14.注视自己的手，看手中抓的物品。
15.仰躺时眼睛横向幅度约90度追视。
16.眼睛横向180度追视。
</t>
        </r>
      </text>
    </comment>
    <comment ref="E14" authorId="0" shapeId="0" xr:uid="{2417A1B2-B2C2-423A-B8AE-267502341F1D}">
      <text>
        <r>
          <rPr>
            <sz val="9"/>
            <color indexed="81"/>
            <rFont val="Tahoma"/>
            <family val="2"/>
          </rPr>
          <t xml:space="preserve">1.注意1000到3000赫兹(偏于听高频)的声音,(听阈值60-70DB)。
2.听到突发大声响引发惊吓反应(惊跳或闭眼)。
3.听阈值50-70分貝(DB)。
4.听到温柔声音，安静下来。
5.辨别不同的语调有不同的反应(高兴、生气)。
6.头转向发出声音的声源处听。
7.对他说话时会回应。
8.对他说话时，会以注视微笑、发声等响应。
9.感受不同方向发声并且向声源方向转头。
10.音乐声知觉。
</t>
        </r>
      </text>
    </comment>
    <comment ref="F14" authorId="0" shapeId="0" xr:uid="{A66F0D2D-958A-44B9-AC59-DA4A39E83705}">
      <text>
        <r>
          <rPr>
            <sz val="9"/>
            <color indexed="81"/>
            <rFont val="Tahoma"/>
            <family val="2"/>
          </rPr>
          <t xml:space="preserve">1.新生儿受到刺激时触觉敏感反射。
2.碰到嘴边有吸吮反射。
3.头转向被触碰的脸颊方向。
4.碰到手心时会自动抓握。
5.手背被抚摸,手掌短暂打开。
6.唇部触觉发展。
7.用嘴来感觉周围环境。
8.手抓到任何东西都会放入口中(如安抚奶嘴)。
9.吸吮自己双手(拳头、手指头)。
</t>
        </r>
      </text>
    </comment>
    <comment ref="G14" authorId="0" shapeId="0" xr:uid="{810925F6-D5D6-479B-8693-5C10C621D2A2}">
      <text>
        <r>
          <rPr>
            <sz val="9"/>
            <color indexed="81"/>
            <rFont val="Tahoma"/>
            <family val="2"/>
          </rPr>
          <t xml:space="preserve">1.趴着时会有爬的动作。
2.抱直立时，脚触及平面出现踏步反射。
3.刺激嘴边，有吸吮反射。
4.刺激眼、额头，有双眼紧闭。
5.刺激手掌，有握拳。
6.刺激脚底，有缩脚。
7.会注意自己的双手。
8.感受自己身体和重力的感觉(身体歪斜会拉回来，并可以维持平衡寻找支点)。
9.会抓握物品(摇铃)维持15到30秒，但抓放不自如。
10.手通常张开，手碰到东西会抓握，不能主动放松。
11.双手抓物品放入口中。
12.欲伸手抓面前物体时，能准确触摸。
</t>
        </r>
      </text>
    </comment>
    <comment ref="H14" authorId="0" shapeId="0" xr:uid="{DCE1C0A7-7B86-4A6E-8001-F8080004844C}">
      <text>
        <r>
          <rPr>
            <sz val="9"/>
            <color indexed="81"/>
            <rFont val="Tahoma"/>
            <family val="2"/>
          </rPr>
          <t xml:space="preserve">1.新生儿对于被忽然移动有明显的感觉并出现反射动作。
2.感受到自己身体顺应重力刺激的抗拒感觉(偏离身体重力中线时)出现不自主的保护性反射动作。
3.平稳且节律性的摇晃动作感到舒服。
4.对于被动扶持的上、下摇晃动作感到兴奋。
5.仰躺时，抗地心抬头45度约1-3秒。
6.趴姿下，抗地心抬头。
7.翻身时会抬头、挺胸。
8.扶持双肩坐立时，头颈可直立(不垂头)。
</t>
        </r>
      </text>
    </comment>
    <comment ref="I14" authorId="0" shapeId="0" xr:uid="{3490C3BD-9EFE-4A75-B836-6C89B8FA2DC7}">
      <text>
        <r>
          <rPr>
            <sz val="9"/>
            <color indexed="81"/>
            <rFont val="Tahoma"/>
            <family val="2"/>
          </rPr>
          <t xml:space="preserve">1.1.1(M0S2)仰卧摆位时，可情境诱导自主双手、双脚中线不停乱踢3下的活动发育。
2.1.2(M0S2)扶持双肩坐立摆位下，可情境诱导自主头颈中线直立(不垂头)2秒的姿势发育。
</t>
        </r>
      </text>
    </comment>
    <comment ref="J14" authorId="0" shapeId="0" xr:uid="{917A48E6-5E81-4B64-B00B-49CFC532BAA4}">
      <text>
        <r>
          <rPr>
            <sz val="9"/>
            <color indexed="81"/>
            <rFont val="Tahoma"/>
            <family val="2"/>
          </rPr>
          <t xml:space="preserve">1.手因抓握反射而握拳。
2.抚摩手背，手掌会短暂打开。
3.手拿到嘴里吸。
4.可维持较长抓握。
5.手掌大致都张开，抓握反射消失。
6.两手在中线碰在一起。
</t>
        </r>
      </text>
    </comment>
    <comment ref="L14" authorId="0" shapeId="0" xr:uid="{F4A793FB-ACA1-400B-805C-3285F9F498A4}">
      <text>
        <r>
          <rPr>
            <sz val="9"/>
            <color indexed="81"/>
            <rFont val="Tahoma"/>
            <family val="2"/>
          </rPr>
          <t xml:space="preserve">1.眼睛会注视手。
</t>
        </r>
      </text>
    </comment>
    <comment ref="M14" authorId="0" shapeId="0" xr:uid="{BCD224A3-4E88-4302-8EBF-7D0A399EE396}">
      <text>
        <r>
          <rPr>
            <sz val="9"/>
            <color indexed="81"/>
            <rFont val="Tahoma"/>
            <family val="2"/>
          </rPr>
          <t xml:space="preserve">1.当被抱起时会安静或停止哭闹。
2.注视的人离开会哭。
3.对人无差别反应。
4.用哭、微笑、咿呀语等来获取父母或照顾者的亲近。
5.听到说话或摇晃时，会安静。
6.对陌生人退缩。
</t>
        </r>
      </text>
    </comment>
    <comment ref="N14" authorId="0" shapeId="0" xr:uid="{A11EFD12-EC55-459C-8F1E-BE5BC2EFBB16}">
      <text>
        <r>
          <rPr>
            <sz val="9"/>
            <color indexed="81"/>
            <rFont val="Tahoma"/>
            <family val="2"/>
          </rPr>
          <t xml:space="preserve">1.拍打镜中影像。
2.当看到、摸到奶瓶时会安静。
3.会用不同的哭来表达需求。
4.会注视别人。
</t>
        </r>
      </text>
    </comment>
    <comment ref="O14" authorId="0" shapeId="0" xr:uid="{BEC325E0-F285-44A4-8F34-96D2582086A7}">
      <text>
        <r>
          <rPr>
            <sz val="9"/>
            <color indexed="81"/>
            <rFont val="Tahoma"/>
            <family val="2"/>
          </rPr>
          <t xml:space="preserve">1.只有两种反应：兴奋，安静。
2.会自发的微笑。
3.会哭(惊吓、痛)。
4.发展出两种情绪：愉快、痛苦。
5.会笑出声。
6.对人感兴趣，特别是婴儿。
7.开始区分自己的身体与他人的身体。
</t>
        </r>
      </text>
    </comment>
    <comment ref="P14" authorId="0" shapeId="0" xr:uid="{E1C93FE5-E2B7-4411-BFE7-441DCB887605}">
      <text>
        <r>
          <rPr>
            <sz val="9"/>
            <color indexed="81"/>
            <rFont val="Tahoma"/>
            <family val="2"/>
          </rPr>
          <t xml:space="preserve">1.倾向与大而显眼的图案。
2.对红色移动物体比较敏感。
3.除了自发的微笑外，还容易被逗笑。
4.能注视到面前的新鲜事物，并且目光会随其移动。
5.会用眼睛追随走来走去的人。
6.会认真听别人与自己讲话。
7.能持久注视物体。
</t>
        </r>
      </text>
    </comment>
    <comment ref="Q14" authorId="0" shapeId="0" xr:uid="{3E06A74C-7316-4D57-9E1A-A8B93BC709BE}">
      <text>
        <r>
          <rPr>
            <sz val="9"/>
            <color indexed="81"/>
            <rFont val="Tahoma"/>
            <family val="2"/>
          </rPr>
          <t xml:space="preserve">1.能够记住妈妈脸的轮廓。
2.当凝视的物品从眼前消失时会用眼睛去寻找。
3.能记住家人脸的模样。
</t>
        </r>
      </text>
    </comment>
    <comment ref="S14" authorId="0" shapeId="0" xr:uid="{79FDEEB9-B22D-4565-BCDD-2A9A230280D2}">
      <text>
        <r>
          <rPr>
            <sz val="9"/>
            <color indexed="81"/>
            <rFont val="Tahoma"/>
            <family val="2"/>
          </rPr>
          <t xml:space="preserve">1.能区分不同性质的声音并寻找声源。
</t>
        </r>
      </text>
    </comment>
    <comment ref="T14" authorId="0" shapeId="0" xr:uid="{A0B2375A-6BA8-4A35-9D29-F85225A8766E}">
      <text>
        <r>
          <rPr>
            <sz val="9"/>
            <color indexed="81"/>
            <rFont val="Tahoma"/>
            <family val="2"/>
          </rPr>
          <t xml:space="preserve">1.能有节奏吸吮你的手指头或乳头。
2.用手指头或乳头触碰脸颊，头会随着转动。
3.舌头、嘴巴、下巴一起动。
4.舌头简单伸出和收回反射动作进食。
5.舌头以“前后动”的方式来运动，吸一口吞一口。
</t>
        </r>
      </text>
    </comment>
    <comment ref="U14" authorId="0" shapeId="0" xr:uid="{D389574E-BD36-4D2F-815C-B239BB377004}">
      <text>
        <r>
          <rPr>
            <sz val="9"/>
            <color indexed="81"/>
            <rFont val="Tahoma"/>
            <family val="2"/>
          </rPr>
          <t xml:space="preserve">1.注意单音及语调的类型,观察对方嘴巴(对语调反应)。
2.偏爱音乐声、人声。
</t>
        </r>
      </text>
    </comment>
    <comment ref="V14" authorId="0" shapeId="0" xr:uid="{96630546-76DC-471C-86EC-B22188B46323}">
      <text>
        <r>
          <rPr>
            <sz val="9"/>
            <color indexed="81"/>
            <rFont val="Tahoma"/>
            <family val="2"/>
          </rPr>
          <t xml:space="preserve">1.哭声，对大噪音有反应（如眨眼、停止一个动作、眼睛到处移动或是一个惊惧的反应）。
2.不同型式的哭声、单一音ɑi、ei、ou。
3.成人逗引时会咿呀发音，笑出声。
</t>
        </r>
      </text>
    </comment>
  </commentList>
</comments>
</file>

<file path=xl/sharedStrings.xml><?xml version="1.0" encoding="utf-8"?>
<sst xmlns="http://schemas.openxmlformats.org/spreadsheetml/2006/main" count="5979" uniqueCount="1506">
  <si>
    <t>「高张儿」综合功能发育量表</t>
  </si>
  <si>
    <t>(脑伤痉挛型、脑伤徐动型)</t>
  </si>
  <si>
    <t>(请填写此份综合能力检测表)</t>
  </si>
  <si>
    <t>姓    名：</t>
  </si>
  <si>
    <t>出生年月：</t>
  </si>
  <si>
    <t>(年龄:    岁)</t>
  </si>
  <si>
    <r>
      <rPr>
        <sz val="16"/>
        <color theme="1"/>
        <rFont val="標楷體"/>
        <family val="4"/>
        <charset val="136"/>
      </rPr>
      <t>简述脑伤病史：</t>
    </r>
    <r>
      <rPr>
        <u/>
        <sz val="16"/>
        <color theme="1"/>
        <rFont val="標楷體"/>
        <family val="4"/>
        <charset val="136"/>
      </rPr>
      <t xml:space="preserve">                  </t>
    </r>
  </si>
  <si>
    <r>
      <rPr>
        <sz val="16"/>
        <color theme="1"/>
        <rFont val="標楷體"/>
        <family val="4"/>
        <charset val="136"/>
      </rPr>
      <t>填写日期：</t>
    </r>
    <r>
      <rPr>
        <u/>
        <sz val="16"/>
        <color theme="1"/>
        <rFont val="標楷體"/>
        <family val="4"/>
        <charset val="136"/>
      </rPr>
      <t xml:space="preserve">     </t>
    </r>
    <r>
      <rPr>
        <sz val="16"/>
        <color theme="1"/>
        <rFont val="標楷體"/>
        <family val="4"/>
        <charset val="136"/>
      </rPr>
      <t>年</t>
    </r>
    <r>
      <rPr>
        <u/>
        <sz val="16"/>
        <color theme="1"/>
        <rFont val="標楷體"/>
        <family val="4"/>
        <charset val="136"/>
      </rPr>
      <t xml:space="preserve">     </t>
    </r>
    <r>
      <rPr>
        <sz val="16"/>
        <color theme="1"/>
        <rFont val="標楷體"/>
        <family val="4"/>
        <charset val="136"/>
      </rPr>
      <t>月</t>
    </r>
    <r>
      <rPr>
        <u/>
        <sz val="16"/>
        <color theme="1"/>
        <rFont val="標楷體"/>
        <family val="4"/>
        <charset val="136"/>
      </rPr>
      <t xml:space="preserve">     </t>
    </r>
    <r>
      <rPr>
        <sz val="16"/>
        <color theme="1"/>
        <rFont val="標楷體"/>
        <family val="4"/>
        <charset val="136"/>
      </rPr>
      <t>日</t>
    </r>
  </si>
  <si>
    <t>填表必读</t>
  </si>
  <si>
    <r>
      <rPr>
        <sz val="14"/>
        <color theme="1"/>
        <rFont val="標楷體"/>
        <family val="4"/>
        <charset val="136"/>
      </rPr>
      <t>1.请依照过去及现有的功能性能力进行勾选即可，若仅单手可完成该功能性动作，则请于功能指针后备注</t>
    </r>
    <r>
      <rPr>
        <u/>
        <sz val="14"/>
        <color theme="1"/>
        <rFont val="標楷體"/>
        <family val="4"/>
        <charset val="136"/>
      </rPr>
      <t xml:space="preserve">   </t>
    </r>
    <r>
      <rPr>
        <sz val="14"/>
        <color theme="1"/>
        <rFont val="標楷體"/>
        <family val="4"/>
        <charset val="136"/>
      </rPr>
      <t>侧优势手；若不明白功能项目的实质涵义可暂时不勾选。</t>
    </r>
  </si>
  <si>
    <t>2.综合功能检测表中若不明白粗大动作功能项目的实质涵义可暂时不勾选，必须经由动作评估专业人员藉由动作视频的检测后，方能确认与勾选。</t>
  </si>
  <si>
    <t>3.综合功能检测表内的每项功能动作的文字都必须全部看过，已明确了解个案整体功能发育现况。</t>
  </si>
  <si>
    <r>
      <rPr>
        <sz val="14"/>
        <color theme="1"/>
        <rFont val="標楷體"/>
        <family val="4"/>
        <charset val="136"/>
      </rPr>
      <t>4.个案已经拥有的功能性能力请打勾</t>
    </r>
    <r>
      <rPr>
        <sz val="14"/>
        <color theme="1"/>
        <rFont val="Segoe UI Symbol"/>
        <family val="2"/>
      </rPr>
      <t>✓</t>
    </r>
    <r>
      <rPr>
        <sz val="14"/>
        <color theme="1"/>
        <rFont val="標楷體"/>
        <family val="4"/>
        <charset val="136"/>
      </rPr>
      <t>，不需要考虑个案实际生理年龄的限制(譬如:</t>
    </r>
    <r>
      <rPr>
        <sz val="14"/>
        <color rgb="FFFF0000"/>
        <rFont val="標楷體"/>
        <family val="4"/>
        <charset val="136"/>
      </rPr>
      <t xml:space="preserve"> </t>
    </r>
    <r>
      <rPr>
        <sz val="14"/>
        <color theme="1"/>
        <rFont val="標楷體"/>
        <family val="4"/>
        <charset val="136"/>
      </rPr>
      <t>孩子目前是3岁不可以只填写到3岁，都必须检视填写到6足岁止)。</t>
    </r>
  </si>
  <si>
    <t>5.若家长填写个案第二份综合能力检测表时，请必须都要重新填写一份，不要在第一份上加添其他颜色。</t>
  </si>
  <si>
    <t>6.填写此综合功能检测表的目的，是为了了解个案现阶段心智功能的发育现况，以提供家长或康复专业人员合理且符合个案学习需求的康复活动建议。</t>
  </si>
  <si>
    <t>7.若填写此综合功能检测表后仍有相关疑虑，请咨询相关专业人员。</t>
  </si>
  <si>
    <t>8.家长或相关专业人员填表后的补充说明:</t>
  </si>
  <si>
    <t>一级</t>
  </si>
  <si>
    <t>2级项目</t>
  </si>
  <si>
    <t>1个月~6岁全人疗育发展指标</t>
  </si>
  <si>
    <t>1个月至3个月:3个月动作年龄发育阶段</t>
  </si>
  <si>
    <r>
      <rPr>
        <b/>
        <sz val="12"/>
        <color theme="1"/>
        <rFont val="標楷體"/>
        <family val="4"/>
        <charset val="136"/>
      </rPr>
      <t>一般儿外在感知觉(OS)功能</t>
    </r>
    <r>
      <rPr>
        <b/>
        <sz val="12"/>
        <color theme="1"/>
        <rFont val="標楷體"/>
        <family val="4"/>
        <charset val="136"/>
      </rPr>
      <t>发育</t>
    </r>
  </si>
  <si>
    <r>
      <rPr>
        <b/>
        <u/>
        <sz val="11"/>
        <color theme="1"/>
        <rFont val="標楷體"/>
        <family val="4"/>
        <charset val="136"/>
      </rPr>
      <t>视知觉</t>
    </r>
    <r>
      <rPr>
        <b/>
        <sz val="11"/>
        <color theme="1"/>
        <rFont val="標楷體"/>
        <family val="4"/>
        <charset val="136"/>
      </rPr>
      <t>(OSV)功能发育:(16项)</t>
    </r>
  </si>
  <si>
    <t>视知觉</t>
  </si>
  <si>
    <t>0-3个月</t>
  </si>
  <si>
    <t>视力为0.1,可见30公分内距离的物体,注视距离为1.5米。</t>
  </si>
  <si>
    <t>会注视看30公分对他讲话的人脸。</t>
  </si>
  <si>
    <t>注视距离为4~7米。</t>
  </si>
  <si>
    <t>对亮与暗有视觉反应。</t>
  </si>
  <si>
    <t>对快速到来的物体会眨眼睛。</t>
  </si>
  <si>
    <t>偏好扫视轮廓而非内部(注视大方格，人脸)。</t>
  </si>
  <si>
    <t>认识长期照顾自己的人(妈)。</t>
  </si>
  <si>
    <t>对他吐舌数次模仿类似的动作。</t>
  </si>
  <si>
    <t>扫描物体内部。</t>
  </si>
  <si>
    <t>视觉注视5秒。</t>
  </si>
  <si>
    <t>注视移动中的物体约1-3秒。</t>
  </si>
  <si>
    <t>主动搜寻视觉刺激，好奇看。</t>
  </si>
  <si>
    <t>目光从一个物体移向另一物体。</t>
  </si>
  <si>
    <t>注视自己的手，看手中抓的物品。</t>
  </si>
  <si>
    <t>仰躺时眼睛横向幅度约90度追视。</t>
  </si>
  <si>
    <t>眼睛横向180度追视。</t>
  </si>
  <si>
    <r>
      <rPr>
        <b/>
        <u/>
        <sz val="11"/>
        <color theme="1"/>
        <rFont val="標楷體"/>
        <family val="4"/>
        <charset val="136"/>
      </rPr>
      <t>听知觉</t>
    </r>
    <r>
      <rPr>
        <b/>
        <sz val="11"/>
        <color theme="1"/>
        <rFont val="標楷體"/>
        <family val="4"/>
        <charset val="136"/>
      </rPr>
      <t>(OSH)功能发育:(10项)</t>
    </r>
  </si>
  <si>
    <t>听知觉</t>
  </si>
  <si>
    <t>£</t>
  </si>
  <si>
    <t>注意1000到3000赫兹(偏于听高频)的声音,(听阈值60-70DB)。</t>
  </si>
  <si>
    <t>听到突发大声响引发惊吓反应(惊跳或闭眼)。</t>
  </si>
  <si>
    <t>听阈值50-70分貝(DB)。</t>
  </si>
  <si>
    <t>听到温柔声音，安静下来。</t>
  </si>
  <si>
    <t>辨别不同的语调有不同的反应(高兴、生气)。</t>
  </si>
  <si>
    <t>头转向发出声音的声源处听。</t>
  </si>
  <si>
    <t>对他说话时会回应。</t>
  </si>
  <si>
    <t>对他说话时，会以注视微笑、发声等响应。</t>
  </si>
  <si>
    <t>感受不同方向发声并且向声源方向转头。</t>
  </si>
  <si>
    <t>音乐声知觉。</t>
  </si>
  <si>
    <r>
      <rPr>
        <b/>
        <u/>
        <sz val="11"/>
        <color theme="1"/>
        <rFont val="標楷體"/>
        <family val="4"/>
        <charset val="136"/>
      </rPr>
      <t>触知觉</t>
    </r>
    <r>
      <rPr>
        <b/>
        <sz val="11"/>
        <color theme="1"/>
        <rFont val="標楷體"/>
        <family val="4"/>
        <charset val="136"/>
      </rPr>
      <t>(OST)功能发育:(9项)</t>
    </r>
  </si>
  <si>
    <t>触知觉</t>
  </si>
  <si>
    <t>新生儿受到刺激时触觉敏感反射。</t>
  </si>
  <si>
    <t>碰到嘴边有吸吮反射。</t>
  </si>
  <si>
    <t>头转向被触碰的脸颊方向。</t>
  </si>
  <si>
    <t>碰到手心时会自动抓握。</t>
  </si>
  <si>
    <t>手背被抚摸,手掌短暂打开。</t>
  </si>
  <si>
    <t>唇部触觉发展。</t>
  </si>
  <si>
    <t>用嘴来感觉周围环境。</t>
  </si>
  <si>
    <t>手抓到任何东西都会放入口中(如安抚奶嘴)。</t>
  </si>
  <si>
    <t>吸吮自己双手(拳头、手指头)。</t>
  </si>
  <si>
    <r>
      <rPr>
        <b/>
        <sz val="12"/>
        <color theme="1"/>
        <rFont val="標楷體"/>
        <family val="4"/>
        <charset val="136"/>
      </rPr>
      <t>一般儿內在感知觉(IS)功能</t>
    </r>
    <r>
      <rPr>
        <b/>
        <sz val="12"/>
        <color theme="1"/>
        <rFont val="標楷體"/>
        <family val="4"/>
        <charset val="136"/>
      </rPr>
      <t>发育</t>
    </r>
  </si>
  <si>
    <r>
      <rPr>
        <b/>
        <sz val="12"/>
        <color theme="1"/>
        <rFont val="標楷體"/>
        <family val="4"/>
        <charset val="136"/>
      </rPr>
      <t xml:space="preserve">  </t>
    </r>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(ISP)功能发育:(12项)</t>
    </r>
  </si>
  <si>
    <t>本体运动知觉</t>
  </si>
  <si>
    <t>趴着时会有爬的动作。</t>
  </si>
  <si>
    <t>抱直立时，脚触及平面出现踏步反射。</t>
  </si>
  <si>
    <t>刺激嘴边，有吸吮反射。</t>
  </si>
  <si>
    <t>刺激眼、额头，有双眼紧闭。</t>
  </si>
  <si>
    <t>刺激手掌，有握拳。</t>
  </si>
  <si>
    <t>刺激脚底，有缩脚。</t>
  </si>
  <si>
    <t>会注意自己的双手。</t>
  </si>
  <si>
    <t>感受自己身体和重力的感觉(身体歪斜会拉回来，并可以维持平衡寻找支点)。</t>
  </si>
  <si>
    <t>会抓握物品(摇铃)维持15到30秒，但抓放不自如。</t>
  </si>
  <si>
    <t>手通常张开，手碰到东西会抓握，不能主动放松。</t>
  </si>
  <si>
    <t>双手抓物品放入口中。</t>
  </si>
  <si>
    <t>欲伸手抓面前物体时，能准确触摸。</t>
  </si>
  <si>
    <r>
      <rPr>
        <b/>
        <u/>
        <sz val="11"/>
        <color theme="1"/>
        <rFont val="標楷體"/>
        <family val="4"/>
        <charset val="136"/>
      </rPr>
      <t>前庭平衡知觉</t>
    </r>
    <r>
      <rPr>
        <b/>
        <sz val="11"/>
        <color theme="1"/>
        <rFont val="標楷體"/>
        <family val="4"/>
        <charset val="136"/>
      </rPr>
      <t>(ISV)功能发育:(8项)</t>
    </r>
  </si>
  <si>
    <t>前庭平衡知觉</t>
  </si>
  <si>
    <t>新生儿对于被忽然移动有明显的感觉并出现反射动作。</t>
  </si>
  <si>
    <t>感受到自己身体顺应重力刺激的抗拒感觉(偏离身体重力中线时)出现不自主的保护性反射动作。</t>
  </si>
  <si>
    <t>平稳且节律性的摇晃动作感到舒服。</t>
  </si>
  <si>
    <t>对于被动扶持的上、下摇晃动作感到兴奋。</t>
  </si>
  <si>
    <t>仰躺时，抗地心抬头45度约1-3秒。</t>
  </si>
  <si>
    <t>趴姿下，抗地心抬头。</t>
  </si>
  <si>
    <t>翻身时会抬头、挺胸。</t>
  </si>
  <si>
    <t>扶持双肩坐立时，头颈可直立(不垂头)。</t>
  </si>
  <si>
    <r>
      <rPr>
        <b/>
        <sz val="12"/>
        <color theme="1"/>
        <rFont val="標楷體"/>
        <family val="4"/>
        <charset val="136"/>
      </rPr>
      <t>躯肢体粗大动作(GM)</t>
    </r>
    <r>
      <rPr>
        <b/>
        <sz val="12"/>
        <color theme="1"/>
        <rFont val="標楷體"/>
        <family val="4"/>
        <charset val="136"/>
      </rPr>
      <t>功能发育</t>
    </r>
    <r>
      <rPr>
        <b/>
        <sz val="12"/>
        <color theme="1"/>
        <rFont val="標楷體"/>
        <family val="4"/>
        <charset val="136"/>
      </rPr>
      <t>：</t>
    </r>
    <r>
      <rPr>
        <sz val="12"/>
        <color theme="1"/>
        <rFont val="標楷體"/>
        <family val="4"/>
        <charset val="136"/>
      </rPr>
      <t>(2项)</t>
    </r>
  </si>
  <si>
    <t>躯肢体</t>
  </si>
  <si>
    <t>1.1(M0S2)仰卧摆位时，可情境诱导自主双手、双脚中线不停乱踢3下的活动发育。</t>
  </si>
  <si>
    <t>1.2(M0S2)扶持双肩坐立摆位下，可情境诱导自主头颈中线直立(不垂头)2秒的姿势发育。</t>
  </si>
  <si>
    <r>
      <rPr>
        <b/>
        <sz val="12"/>
        <color theme="1"/>
        <rFont val="標楷體"/>
        <family val="4"/>
        <charset val="136"/>
      </rPr>
      <t>双上肢粗大动作(UE)</t>
    </r>
    <r>
      <rPr>
        <b/>
        <sz val="12"/>
        <color theme="1"/>
        <rFont val="標楷體"/>
        <family val="4"/>
        <charset val="136"/>
      </rPr>
      <t>功能发育</t>
    </r>
    <r>
      <rPr>
        <sz val="12"/>
        <color theme="1"/>
        <rFont val="標楷體"/>
        <family val="4"/>
        <charset val="136"/>
      </rPr>
      <t>：</t>
    </r>
    <r>
      <rPr>
        <sz val="12"/>
        <color theme="1"/>
        <rFont val="標楷體"/>
        <family val="4"/>
        <charset val="136"/>
      </rPr>
      <t>(6项)</t>
    </r>
  </si>
  <si>
    <r>
      <rPr>
        <b/>
        <u/>
        <sz val="11"/>
        <color theme="1"/>
        <rFont val="標楷體"/>
        <family val="4"/>
        <charset val="136"/>
      </rPr>
      <t>视动协调</t>
    </r>
    <r>
      <rPr>
        <b/>
        <sz val="11"/>
        <color theme="1"/>
        <rFont val="標楷體"/>
        <family val="4"/>
        <charset val="136"/>
      </rPr>
      <t>(UEM)(6项)</t>
    </r>
  </si>
  <si>
    <t>双上肢</t>
  </si>
  <si>
    <t>视动协调</t>
  </si>
  <si>
    <t>手因抓握反射而握拳。</t>
  </si>
  <si>
    <t>抚摩手背，手掌会短暂打开。</t>
  </si>
  <si>
    <t>手拿到嘴里吸。</t>
  </si>
  <si>
    <t>可维持较长抓握。</t>
  </si>
  <si>
    <t>手掌大致都张开，抓握反射消失。</t>
  </si>
  <si>
    <t>两手在中线碰在一起。</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</si>
  <si>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sz val="12"/>
        <color theme="1"/>
        <rFont val="標楷體"/>
        <family val="4"/>
        <charset val="136"/>
      </rPr>
      <t>：</t>
    </r>
    <r>
      <rPr>
        <sz val="12"/>
        <color theme="1"/>
        <rFont val="標楷體"/>
        <family val="4"/>
        <charset val="136"/>
      </rPr>
      <t>(1项)</t>
    </r>
  </si>
  <si>
    <t>精细动作</t>
  </si>
  <si>
    <t>眼睛会注视手。</t>
  </si>
  <si>
    <r>
      <rPr>
        <b/>
        <sz val="12"/>
        <color theme="1"/>
        <rFont val="標楷體"/>
        <family val="4"/>
        <charset val="136"/>
      </rPr>
      <t>一般儿社会性(SI)互动功能发育</t>
    </r>
    <r>
      <rPr>
        <sz val="12"/>
        <color theme="1"/>
        <rFont val="標楷體"/>
        <family val="4"/>
        <charset val="136"/>
      </rPr>
      <t>:</t>
    </r>
    <r>
      <rPr>
        <sz val="12"/>
        <color theme="1"/>
        <rFont val="標楷體"/>
        <family val="4"/>
        <charset val="136"/>
      </rPr>
      <t>(17项)</t>
    </r>
  </si>
  <si>
    <r>
      <rPr>
        <b/>
        <u/>
        <sz val="11"/>
        <color theme="1"/>
        <rFont val="標楷體"/>
        <family val="4"/>
        <charset val="136"/>
      </rPr>
      <t>与人互动</t>
    </r>
    <r>
      <rPr>
        <b/>
        <sz val="11"/>
        <color theme="1"/>
        <rFont val="標楷體"/>
        <family val="4"/>
        <charset val="136"/>
      </rPr>
      <t>(SIP)</t>
    </r>
    <r>
      <rPr>
        <b/>
        <sz val="11"/>
        <color theme="1"/>
        <rFont val="標楷體"/>
        <family val="4"/>
        <charset val="136"/>
      </rPr>
      <t>(6项)</t>
    </r>
  </si>
  <si>
    <t>社会性(SI)互动</t>
  </si>
  <si>
    <t>与人互动</t>
  </si>
  <si>
    <t>当被抱起时会安静或停止哭闹。</t>
  </si>
  <si>
    <t>注视的人离开会哭。</t>
  </si>
  <si>
    <t>对人无差别反应。</t>
  </si>
  <si>
    <t>用哭、微笑、咿呀语等来获取父母或照顾者的亲近。</t>
  </si>
  <si>
    <t>听到说话或摇晃时，会安静。</t>
  </si>
  <si>
    <t>对陌生人退缩。</t>
  </si>
  <si>
    <r>
      <rPr>
        <b/>
        <u/>
        <sz val="11"/>
        <color theme="1"/>
        <rFont val="標楷體"/>
        <family val="4"/>
        <charset val="136"/>
      </rPr>
      <t>与其他互动</t>
    </r>
    <r>
      <rPr>
        <b/>
        <sz val="11"/>
        <color theme="1"/>
        <rFont val="標楷體"/>
        <family val="4"/>
        <charset val="136"/>
      </rPr>
      <t>(SIE)</t>
    </r>
    <r>
      <rPr>
        <b/>
        <sz val="11"/>
        <color theme="1"/>
        <rFont val="標楷體"/>
        <family val="4"/>
        <charset val="136"/>
      </rPr>
      <t>(4项)</t>
    </r>
  </si>
  <si>
    <t>其他互动</t>
  </si>
  <si>
    <t>拍打镜中影像。</t>
  </si>
  <si>
    <t>当看到、摸到奶瓶时会安静。</t>
  </si>
  <si>
    <t>会用不同的哭来表达需求。</t>
  </si>
  <si>
    <t>会注视别人。</t>
  </si>
  <si>
    <r>
      <rPr>
        <b/>
        <u/>
        <sz val="11"/>
        <color theme="1"/>
        <rFont val="標楷體"/>
        <family val="4"/>
        <charset val="136"/>
      </rPr>
      <t>情绪与自我</t>
    </r>
    <r>
      <rPr>
        <b/>
        <sz val="11"/>
        <color theme="1"/>
        <rFont val="標楷體"/>
        <family val="4"/>
        <charset val="136"/>
      </rPr>
      <t>(SIS)</t>
    </r>
    <r>
      <rPr>
        <b/>
        <sz val="11"/>
        <color theme="1"/>
        <rFont val="標楷體"/>
        <family val="4"/>
        <charset val="136"/>
      </rPr>
      <t>(7项)</t>
    </r>
  </si>
  <si>
    <t>自我与情绪</t>
  </si>
  <si>
    <t>只有两种反应：兴奋，安静。</t>
  </si>
  <si>
    <t>会自发的微笑。</t>
  </si>
  <si>
    <t>会哭(惊吓、痛)。</t>
  </si>
  <si>
    <t>发展出两种情绪：愉快、痛苦。</t>
  </si>
  <si>
    <t>会笑出声。</t>
  </si>
  <si>
    <t>对人感兴趣，特别是婴儿。</t>
  </si>
  <si>
    <t>开始区分自己的身体与他人的身体。</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</si>
  <si>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(11项)</t>
    </r>
  </si>
  <si>
    <r>
      <rPr>
        <b/>
        <u/>
        <sz val="11"/>
        <color theme="1"/>
        <rFont val="標楷體"/>
        <family val="4"/>
        <charset val="136"/>
      </rPr>
      <t>注意</t>
    </r>
    <r>
      <rPr>
        <b/>
        <sz val="11"/>
        <color theme="1"/>
        <rFont val="標楷體"/>
        <family val="4"/>
        <charset val="136"/>
      </rPr>
      <t>(MAN)(7项)</t>
    </r>
  </si>
  <si>
    <t>认知(M)</t>
  </si>
  <si>
    <t>注意</t>
  </si>
  <si>
    <t>倾向与大而显眼的图案。</t>
  </si>
  <si>
    <t>对红色移动物体比较敏感。</t>
  </si>
  <si>
    <t>除了自发的微笑外，还容易被逗笑。</t>
  </si>
  <si>
    <t>能注视到面前的新鲜事物，并且目光会随其移动。</t>
  </si>
  <si>
    <t>会用眼睛追随走来走去的人。</t>
  </si>
  <si>
    <t>会认真听别人与自己讲话。</t>
  </si>
  <si>
    <t>能持久注视物体。</t>
  </si>
  <si>
    <r>
      <rPr>
        <b/>
        <u/>
        <sz val="11"/>
        <color theme="1"/>
        <rFont val="標楷體"/>
        <family val="4"/>
        <charset val="136"/>
      </rPr>
      <t>记忆</t>
    </r>
    <r>
      <rPr>
        <b/>
        <sz val="11"/>
        <color theme="1"/>
        <rFont val="標楷體"/>
        <family val="4"/>
        <charset val="136"/>
      </rPr>
      <t>(MRN)(3项)</t>
    </r>
  </si>
  <si>
    <t>记忆</t>
  </si>
  <si>
    <t>能够记住妈妈脸的轮廓。</t>
  </si>
  <si>
    <t>当凝视的物品从眼前消失时会用眼睛去寻找。</t>
  </si>
  <si>
    <t>能记住家人脸的模样。</t>
  </si>
  <si>
    <r>
      <rPr>
        <b/>
        <u/>
        <sz val="11"/>
        <color theme="1"/>
        <rFont val="標楷體"/>
        <family val="4"/>
        <charset val="136"/>
      </rPr>
      <t>推理</t>
    </r>
    <r>
      <rPr>
        <b/>
        <sz val="11"/>
        <color theme="1"/>
        <rFont val="標楷體"/>
        <family val="4"/>
        <charset val="136"/>
      </rPr>
      <t>(MIN)(1项)</t>
    </r>
  </si>
  <si>
    <t>推理</t>
  </si>
  <si>
    <t>能区分不同性质的声音并寻找声源。</t>
  </si>
  <si>
    <r>
      <rPr>
        <b/>
        <sz val="12"/>
        <color theme="1"/>
        <rFont val="標楷體"/>
        <family val="4"/>
        <charset val="136"/>
      </rPr>
      <t>一般儿口腔动作(OM)</t>
    </r>
    <r>
      <rPr>
        <b/>
        <sz val="12"/>
        <color theme="1"/>
        <rFont val="標楷體"/>
        <family val="4"/>
        <charset val="136"/>
      </rPr>
      <t>功能</t>
    </r>
    <r>
      <rPr>
        <b/>
        <sz val="12"/>
        <color theme="1"/>
        <rFont val="標楷體"/>
        <family val="4"/>
        <charset val="136"/>
      </rPr>
      <t>发育：</t>
    </r>
    <r>
      <rPr>
        <b/>
        <sz val="12"/>
        <color theme="1"/>
        <rFont val="標楷體"/>
        <family val="4"/>
        <charset val="136"/>
      </rPr>
      <t>(5项)</t>
    </r>
  </si>
  <si>
    <t>口腔动作(OM)</t>
  </si>
  <si>
    <t>能有节奏吸吮你的手指头或乳头。</t>
  </si>
  <si>
    <t>用手指头或乳头触碰脸颊，头会随着转动。</t>
  </si>
  <si>
    <t>舌头、嘴巴、下巴一起动。</t>
  </si>
  <si>
    <t>舌头简单伸出和收回反射动作进食。</t>
  </si>
  <si>
    <t>舌头以“前后动”的方式来运动，吸一口吞一口。</t>
  </si>
  <si>
    <r>
      <rPr>
        <sz val="12"/>
        <color theme="1"/>
        <rFont val="標楷體"/>
        <family val="4"/>
        <charset val="136"/>
      </rPr>
      <t>一般儿语言</t>
    </r>
    <r>
      <rPr>
        <b/>
        <sz val="12"/>
        <color theme="1"/>
        <rFont val="標楷體"/>
        <family val="4"/>
        <charset val="136"/>
      </rPr>
      <t>(ML)</t>
    </r>
    <r>
      <rPr>
        <sz val="12"/>
        <color theme="1"/>
        <rFont val="標楷體"/>
        <family val="4"/>
        <charset val="136"/>
      </rPr>
      <t>功能</t>
    </r>
    <r>
      <rPr>
        <sz val="12"/>
        <color theme="1"/>
        <rFont val="標楷體"/>
        <family val="4"/>
        <charset val="136"/>
      </rPr>
      <t>发育：</t>
    </r>
    <r>
      <rPr>
        <sz val="12"/>
        <color theme="1"/>
        <rFont val="標楷體"/>
        <family val="4"/>
        <charset val="136"/>
      </rPr>
      <t>(5项)</t>
    </r>
  </si>
  <si>
    <r>
      <rPr>
        <b/>
        <u/>
        <sz val="11"/>
        <color theme="1"/>
        <rFont val="標楷體"/>
        <family val="4"/>
        <charset val="136"/>
      </rPr>
      <t>理解(听)</t>
    </r>
    <r>
      <rPr>
        <b/>
        <sz val="11"/>
        <color theme="1"/>
        <rFont val="標楷體"/>
        <family val="4"/>
        <charset val="136"/>
      </rPr>
      <t>(MLUY)(2项)</t>
    </r>
  </si>
  <si>
    <t>语言(ML)</t>
  </si>
  <si>
    <t>理解</t>
  </si>
  <si>
    <t>注意单音及语调的类型,观察对方嘴巴(对语调反应)。</t>
  </si>
  <si>
    <t>偏爱音乐声、人声。</t>
  </si>
  <si>
    <r>
      <rPr>
        <b/>
        <u/>
        <sz val="11"/>
        <color theme="1"/>
        <rFont val="標楷體"/>
        <family val="4"/>
        <charset val="136"/>
      </rPr>
      <t>表达(说)</t>
    </r>
    <r>
      <rPr>
        <b/>
        <sz val="11"/>
        <color theme="1"/>
        <rFont val="標楷體"/>
        <family val="4"/>
        <charset val="136"/>
      </rPr>
      <t>(MLEY)(4项)</t>
    </r>
  </si>
  <si>
    <t>表达</t>
  </si>
  <si>
    <t>哭声，对大噪音有反应（如眨眼、停止一个动作、眼睛到处移动或是一个惊惧的反应）。</t>
  </si>
  <si>
    <t>不同型式的哭声、单一音ɑi、ei、ou。</t>
  </si>
  <si>
    <t>成人逗引时会咿呀发音，笑出声。</t>
  </si>
  <si>
    <t>3个月至6个月: 6个月动作年龄发育阶段</t>
  </si>
  <si>
    <r>
      <rPr>
        <b/>
        <u/>
        <sz val="11"/>
        <color theme="1"/>
        <rFont val="標楷體"/>
        <family val="4"/>
        <charset val="136"/>
      </rPr>
      <t>视知觉</t>
    </r>
    <r>
      <rPr>
        <b/>
        <sz val="11"/>
        <color theme="1"/>
        <rFont val="標楷體"/>
        <family val="4"/>
        <charset val="136"/>
      </rPr>
      <t>(OSV)</t>
    </r>
    <r>
      <rPr>
        <b/>
        <sz val="11"/>
        <color theme="1"/>
        <rFont val="標楷體"/>
        <family val="4"/>
        <charset val="136"/>
      </rPr>
      <t>功能发育:(8项)</t>
    </r>
  </si>
  <si>
    <t>3-6个月</t>
  </si>
  <si>
    <t>看到东西会伸手拿。</t>
  </si>
  <si>
    <t>看不到人时会哭，看到人时停止哭。</t>
  </si>
  <si>
    <t>对四大类别色彩光谱有感觉(红、蓝、绿、黄)。</t>
  </si>
  <si>
    <t>看30公分距离外，上下左右移动物品。</t>
  </si>
  <si>
    <t>到陌生地方会好奇四处张望。</t>
  </si>
  <si>
    <t>拿玩具给他显得高兴活泼起来。</t>
  </si>
  <si>
    <t>寻找掉落的东西。</t>
  </si>
  <si>
    <t>出現玩躲猫猫的游戏。</t>
  </si>
  <si>
    <r>
      <rPr>
        <b/>
        <u/>
        <sz val="11"/>
        <color theme="1"/>
        <rFont val="標楷體"/>
        <family val="4"/>
        <charset val="136"/>
      </rPr>
      <t>听知觉</t>
    </r>
    <r>
      <rPr>
        <b/>
        <sz val="11"/>
        <color theme="1"/>
        <rFont val="標楷體"/>
        <family val="4"/>
        <charset val="136"/>
      </rPr>
      <t>(OSH)</t>
    </r>
    <r>
      <rPr>
        <b/>
        <sz val="11"/>
        <color theme="1"/>
        <rFont val="標楷體"/>
        <family val="4"/>
        <charset val="136"/>
      </rPr>
      <t>功能发育:(8项)</t>
    </r>
  </si>
  <si>
    <t>听阈值40-50分貝(DB)。</t>
  </si>
  <si>
    <t>对他的名字有回应。</t>
  </si>
  <si>
    <t>辨识父母的声音。</t>
  </si>
  <si>
    <t>听到逐渐接近的脚步声而兴奋。</t>
  </si>
  <si>
    <t>可听出熟悉声音中的改变。</t>
  </si>
  <si>
    <t>头会迅速转向声源。</t>
  </si>
  <si>
    <t>对他说话时，尝试模仿发音反应。</t>
  </si>
  <si>
    <t>听到叫自己名字有反应。</t>
  </si>
  <si>
    <r>
      <rPr>
        <b/>
        <u/>
        <sz val="11"/>
        <color theme="1"/>
        <rFont val="標楷體"/>
        <family val="4"/>
        <charset val="136"/>
      </rPr>
      <t>触知觉</t>
    </r>
    <r>
      <rPr>
        <b/>
        <sz val="11"/>
        <color theme="1"/>
        <rFont val="標楷體"/>
        <family val="4"/>
        <charset val="136"/>
      </rPr>
      <t>(OST)</t>
    </r>
    <r>
      <rPr>
        <b/>
        <sz val="11"/>
        <color theme="1"/>
        <rFont val="標楷體"/>
        <family val="4"/>
        <charset val="136"/>
      </rPr>
      <t>功能发育:(10项)</t>
    </r>
  </si>
  <si>
    <t>双手与嘴共同来感觉周围环境。</t>
  </si>
  <si>
    <t>口腔接受半流质的食物。</t>
  </si>
  <si>
    <t>双手愿意各自抓住物品，并放入口中感觉。</t>
  </si>
  <si>
    <t>双手互相的搓、捏着玩、吸吮双手。</t>
  </si>
  <si>
    <t>吃手吃脚。</t>
  </si>
  <si>
    <t>可吃软食、饼干等。</t>
  </si>
  <si>
    <t>出现伸手拿玩具玩。</t>
  </si>
  <si>
    <t>触摸不同形状、不同质感的物品。</t>
  </si>
  <si>
    <t>咬玩具。</t>
  </si>
  <si>
    <t>出现将玩具放入口中。</t>
  </si>
  <si>
    <t>一般儿內在感知觉(IS)功能发育</t>
  </si>
  <si>
    <r>
      <rPr>
        <b/>
        <sz val="12"/>
        <color theme="1"/>
        <rFont val="標楷體"/>
        <family val="4"/>
        <charset val="136"/>
      </rPr>
      <t xml:space="preserve">  </t>
    </r>
    <r>
      <rPr>
        <b/>
        <u/>
        <sz val="11"/>
        <color theme="1"/>
        <rFont val="標楷體"/>
        <family val="4"/>
        <charset val="136"/>
      </rPr>
      <t>本体运动知觉</t>
    </r>
    <r>
      <rPr>
        <b/>
        <sz val="11"/>
        <color theme="1"/>
        <rFont val="標楷體"/>
        <family val="4"/>
        <charset val="136"/>
      </rPr>
      <t>(ISP)功能发育:</t>
    </r>
    <r>
      <rPr>
        <b/>
        <sz val="11"/>
        <color theme="1"/>
        <rFont val="標楷體"/>
        <family val="4"/>
        <charset val="136"/>
      </rPr>
      <t>(13项)</t>
    </r>
  </si>
  <si>
    <t>玩手、玩脚。</t>
  </si>
  <si>
    <t>口腔爱咬玩具。</t>
  </si>
  <si>
    <t>手、嘴和眼睛相互配合探索自己的身体、玩具、周围环境。</t>
  </si>
  <si>
    <t>双手抱住自己的脚。</t>
  </si>
  <si>
    <t>尝试蠕爬,原地打转。</t>
  </si>
  <si>
    <t>双手各自自主的张开手拿玩具。</t>
  </si>
  <si>
    <t>手中握玩具15秒。</t>
  </si>
  <si>
    <t>双手握杯自己喝奶。</t>
  </si>
  <si>
    <t>吸奶时不会漏奶(双唇力气)。</t>
  </si>
  <si>
    <t>拍手时双手能在中线互碰。</t>
  </si>
  <si>
    <t>手的旁边放有物品，会去拿(如：摇铃)。</t>
  </si>
  <si>
    <t>放下手中之物，换拿另一物。</t>
  </si>
  <si>
    <t>一手握有物品，会用另一手去拿另一物品。</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</si>
  <si>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功能发育:(6项)</t>
    </r>
  </si>
  <si>
    <t>看到东西会伸手拿(与空间概念有关连)。</t>
  </si>
  <si>
    <t>趴着时，会一手撑上半身重量，另一手伸向玩具，玩玩具。</t>
  </si>
  <si>
    <t>拿着玩具敲敲打打，会摇铃。</t>
  </si>
  <si>
    <t>撑住他的背部，头部直立并可以转头。</t>
  </si>
  <si>
    <t>俯趴摆位，双手肘协同支撑观看前方喜好物品或视频。</t>
  </si>
  <si>
    <t>俯趴摆位，双上肢协同支撑观看前方喜好物品或视频。</t>
  </si>
  <si>
    <r>
      <rPr>
        <b/>
        <sz val="12"/>
        <color theme="1"/>
        <rFont val="標楷體"/>
        <family val="4"/>
        <charset val="136"/>
      </rPr>
      <t>躯肢体粗大动作(GM)</t>
    </r>
    <r>
      <rPr>
        <b/>
        <sz val="12"/>
        <color theme="1"/>
        <rFont val="標楷體"/>
        <family val="4"/>
        <charset val="136"/>
      </rPr>
      <t>功能发育</t>
    </r>
    <r>
      <rPr>
        <b/>
        <sz val="12"/>
        <color theme="1"/>
        <rFont val="標楷體"/>
        <family val="4"/>
        <charset val="136"/>
      </rPr>
      <t>：</t>
    </r>
    <r>
      <rPr>
        <sz val="12"/>
        <color theme="1"/>
        <rFont val="標楷體"/>
        <family val="4"/>
        <charset val="136"/>
      </rPr>
      <t>(6项)</t>
    </r>
  </si>
  <si>
    <t>1.3(M0S2)俯趴摆位下，可情境诱导自主从俯趴姿势至仰躺姿势翻身1下的活动发育。</t>
  </si>
  <si>
    <t>1.4(M0S2)仰卧摆位下，可情境诱导自主从仰躺姿势至俯趴姿势翻身1下的活动发育。</t>
  </si>
  <si>
    <t>1.5(M0S2)俯趴摆位下，可情境诱导双手肘协同支撑地面2秒观看前方喜好物品或视频的姿势发育。</t>
  </si>
  <si>
    <t>1.6(M0S2)腹部及下半身俯趴楔形垫摆位下，可情境诱导双上肢协同支撑地面2秒的姿势发育。</t>
  </si>
  <si>
    <t xml:space="preserve">   (M0S2)俯趴地面及抬头观看前方视频摆位下，可情境诱导双手肘协同支撑地面2秒的姿势发育。</t>
  </si>
  <si>
    <t xml:space="preserve">   (M0S2)双手肘协同支撑地面摆位下，可情境诱导双上肢交替玩弄前方物品3下的活动发育。</t>
  </si>
  <si>
    <r>
      <rPr>
        <b/>
        <sz val="12"/>
        <color theme="1"/>
        <rFont val="標楷體"/>
        <family val="4"/>
        <charset val="136"/>
      </rPr>
      <t>双上肢粗大动作(UE)</t>
    </r>
    <r>
      <rPr>
        <b/>
        <sz val="12"/>
        <color theme="1"/>
        <rFont val="標楷體"/>
        <family val="4"/>
        <charset val="136"/>
      </rPr>
      <t>功能发育</t>
    </r>
    <r>
      <rPr>
        <sz val="12"/>
        <color theme="1"/>
        <rFont val="標楷體"/>
        <family val="4"/>
        <charset val="136"/>
      </rPr>
      <t>：</t>
    </r>
    <r>
      <rPr>
        <sz val="12"/>
        <color theme="1"/>
        <rFont val="標楷體"/>
        <family val="4"/>
        <charset val="136"/>
      </rPr>
      <t>(7项)</t>
    </r>
  </si>
  <si>
    <r>
      <rPr>
        <b/>
        <u/>
        <sz val="11"/>
        <color theme="1"/>
        <rFont val="標楷體"/>
        <family val="4"/>
        <charset val="136"/>
      </rPr>
      <t>视动协调</t>
    </r>
    <r>
      <rPr>
        <b/>
        <sz val="11"/>
        <color theme="1"/>
        <rFont val="標楷體"/>
        <family val="4"/>
        <charset val="136"/>
      </rPr>
      <t>(UEM)(7项)</t>
    </r>
  </si>
  <si>
    <t>看手抓东西，取物入口。</t>
  </si>
  <si>
    <t>用无名指、小指和手掌抓住东西。</t>
  </si>
  <si>
    <t>两手可各自抓物。</t>
  </si>
  <si>
    <t>用姆指以外的四指和手掌抓住东西。</t>
  </si>
  <si>
    <t>会敲打玩具。</t>
  </si>
  <si>
    <t>用姆指、食指、中指和手掌抓住较大的东西。</t>
  </si>
  <si>
    <t>手抓脚放在口中。</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</si>
  <si>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(3项)</t>
    </r>
  </si>
  <si>
    <t>看物伸手触摸。</t>
  </si>
  <si>
    <t>伸出手时会准确的碰触物体。</t>
  </si>
  <si>
    <t>物体在视野内会跨中线取物。</t>
  </si>
  <si>
    <r>
      <rPr>
        <b/>
        <sz val="12"/>
        <color theme="1"/>
        <rFont val="標楷體"/>
        <family val="4"/>
        <charset val="136"/>
      </rPr>
      <t>一般儿社会性(SI)互动功能发育:</t>
    </r>
    <r>
      <rPr>
        <b/>
        <sz val="12"/>
        <color theme="1"/>
        <rFont val="標楷體"/>
        <family val="4"/>
        <charset val="136"/>
      </rPr>
      <t xml:space="preserve"> (36项)</t>
    </r>
  </si>
  <si>
    <r>
      <rPr>
        <b/>
        <u/>
        <sz val="11"/>
        <color theme="1"/>
        <rFont val="標楷體"/>
        <family val="4"/>
        <charset val="136"/>
      </rPr>
      <t>与人互动</t>
    </r>
    <r>
      <rPr>
        <b/>
        <sz val="11"/>
        <color theme="1"/>
        <rFont val="標楷體"/>
        <family val="4"/>
        <charset val="136"/>
      </rPr>
      <t>(SIP)</t>
    </r>
    <r>
      <rPr>
        <b/>
        <sz val="11"/>
        <color theme="1"/>
        <rFont val="標楷體"/>
        <family val="4"/>
        <charset val="136"/>
      </rPr>
      <t>(24项)</t>
    </r>
  </si>
  <si>
    <t>婴儿会相互注视甚至触摸，但视人如物且更喜欢物体。</t>
  </si>
  <si>
    <t>主动伸手要喜欢的人抱。</t>
  </si>
  <si>
    <t>看到人有反应(如高兴、笑、出声等)。</t>
  </si>
  <si>
    <t>有人靠近会表现出很高兴。</t>
  </si>
  <si>
    <t>听到熟悉人的脚步声会减少哭。</t>
  </si>
  <si>
    <t>对人有不同的反应。</t>
  </si>
  <si>
    <t>会注视与其说话的人。</t>
  </si>
  <si>
    <t>听到大人生气的声音会哭。</t>
  </si>
  <si>
    <t>会和同伴相互触摸、观望。</t>
  </si>
  <si>
    <t>会分辨父母与其他人。</t>
  </si>
  <si>
    <t>会对熟悉的人伸出手。</t>
  </si>
  <si>
    <t>抓痒、抱或语言游戏时会笑。</t>
  </si>
  <si>
    <t>对大人的笑脸会以笑回应。</t>
  </si>
  <si>
    <t>注视大人离开或房间走动。</t>
  </si>
  <si>
    <t>对熟悉的人比对陌生人有更多的反应。</t>
  </si>
  <si>
    <t>会制造声音、笑、眼神接触或身体语言来吸引注意。</t>
  </si>
  <si>
    <t>听到说话会转向说话者。</t>
  </si>
  <si>
    <t>对熟悉人较常出声笑及要求抱。</t>
  </si>
  <si>
    <t>期待有人与他亲近(如：抱他)。</t>
  </si>
  <si>
    <t>做出吸引别人注意的事。</t>
  </si>
  <si>
    <t>会比大人先笑。</t>
  </si>
  <si>
    <t>婴儿间彼此微笑和发出“呀呀”声音。</t>
  </si>
  <si>
    <t>会主动摸熟悉大人的脸。</t>
  </si>
  <si>
    <t>此时最爱与人交往。</t>
  </si>
  <si>
    <t>个人或在陌生环境时会哭。</t>
  </si>
  <si>
    <t>会对镜子中的影像笑。</t>
  </si>
  <si>
    <t>会注意其他孩子的存在。</t>
  </si>
  <si>
    <t>会用注视、抓或语言表达对玩具或物品的兴趣。</t>
  </si>
  <si>
    <r>
      <rPr>
        <b/>
        <u/>
        <sz val="11"/>
        <color theme="1"/>
        <rFont val="標楷體"/>
        <family val="4"/>
        <charset val="136"/>
      </rPr>
      <t>情绪与自我</t>
    </r>
    <r>
      <rPr>
        <b/>
        <sz val="11"/>
        <color theme="1"/>
        <rFont val="標楷體"/>
        <family val="4"/>
        <charset val="136"/>
      </rPr>
      <t>(SIS)</t>
    </r>
    <r>
      <rPr>
        <b/>
        <sz val="11"/>
        <color theme="1"/>
        <rFont val="標楷體"/>
        <family val="4"/>
        <charset val="136"/>
      </rPr>
      <t>(8项)</t>
    </r>
  </si>
  <si>
    <t>能根据外界事物作出相应的表情。</t>
  </si>
  <si>
    <t>会转移专注力以调节情绪。</t>
  </si>
  <si>
    <t>会主动笑。</t>
  </si>
  <si>
    <t>发展出担忧的情绪。</t>
  </si>
  <si>
    <t>痛苦的情绪会发展出，有害怕，厌恶，愤怒，悲伤，恐惧。</t>
  </si>
  <si>
    <t>听懂自己名字。</t>
  </si>
  <si>
    <t>自我意识开始发展。</t>
  </si>
  <si>
    <t>会自己拿饼干吃。</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</si>
  <si>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(14项)</t>
    </r>
  </si>
  <si>
    <r>
      <rPr>
        <b/>
        <u/>
        <sz val="11"/>
        <color theme="1"/>
        <rFont val="標楷體"/>
        <family val="4"/>
        <charset val="136"/>
      </rPr>
      <t>注意</t>
    </r>
    <r>
      <rPr>
        <b/>
        <sz val="11"/>
        <color theme="1"/>
        <rFont val="標楷體"/>
        <family val="4"/>
        <charset val="136"/>
      </rPr>
      <t>(MA)(5项)</t>
    </r>
  </si>
  <si>
    <t>对周围玩具和物品会表示出浓厚的兴趣。</t>
  </si>
  <si>
    <t>开始出现主动的视觉集中。</t>
  </si>
  <si>
    <t>手中玩具掉了会寻找。</t>
  </si>
  <si>
    <t>听到妈妈叫自己会努力的用眼睛去寻找。</t>
  </si>
  <si>
    <t>会模仿爸爸妈妈的表情。</t>
  </si>
  <si>
    <r>
      <rPr>
        <b/>
        <u/>
        <sz val="11"/>
        <color theme="1"/>
        <rFont val="標楷體"/>
        <family val="4"/>
        <charset val="136"/>
      </rPr>
      <t>记忆</t>
    </r>
    <r>
      <rPr>
        <b/>
        <sz val="11"/>
        <color theme="1"/>
        <rFont val="標楷體"/>
        <family val="4"/>
        <charset val="136"/>
      </rPr>
      <t>(MR)(4项)</t>
    </r>
  </si>
  <si>
    <t>能识别妈妈和面容熟悉的人以及经常玩的玩具。</t>
  </si>
  <si>
    <t>能够记住父母的行为方式，并会受到不良刺激的影响。</t>
  </si>
  <si>
    <t>能觉察到玩具被别人拿走(而4-5个月时不能觉察少什么)。</t>
  </si>
  <si>
    <t>能逐渐记住简单的事情，不提醒也可以重复相同的步骤。</t>
  </si>
  <si>
    <r>
      <rPr>
        <b/>
        <u/>
        <sz val="11"/>
        <color theme="1"/>
        <rFont val="標楷體"/>
        <family val="4"/>
        <charset val="136"/>
      </rPr>
      <t>概念</t>
    </r>
    <r>
      <rPr>
        <b/>
        <sz val="11"/>
        <color theme="1"/>
        <rFont val="標楷體"/>
        <family val="4"/>
        <charset val="136"/>
      </rPr>
      <t>(MC)(1项)</t>
    </r>
  </si>
  <si>
    <t>概念</t>
  </si>
  <si>
    <t>对物体开始有完整的概念，当他看到一只手从沙发后伸出来时，就知道沙发后有人。</t>
  </si>
  <si>
    <r>
      <rPr>
        <b/>
        <u/>
        <sz val="11"/>
        <color theme="1"/>
        <rFont val="標楷體"/>
        <family val="4"/>
        <charset val="136"/>
      </rPr>
      <t>推理</t>
    </r>
    <r>
      <rPr>
        <b/>
        <sz val="11"/>
        <color theme="1"/>
        <rFont val="標楷體"/>
        <family val="4"/>
        <charset val="136"/>
      </rPr>
      <t>(MI)(4项)</t>
    </r>
  </si>
  <si>
    <t>对生气或大声有反应(如：会哭)。</t>
  </si>
  <si>
    <t>辨别陌生人能力加强。</t>
  </si>
  <si>
    <t>有东西挡着自己视线时会试着拿开。</t>
  </si>
  <si>
    <t>能理解大人对自己说话的态度。</t>
  </si>
  <si>
    <t>脸颊与嘴唇的肌肉控制能力有明显进步。</t>
  </si>
  <si>
    <t>舌头仍以前后动为主，咀嚼动作仍不成熟。</t>
  </si>
  <si>
    <t>看汤匙进入口中，舌头会吮动。</t>
  </si>
  <si>
    <t>吸奶、吞咽还不行，有时会吐。</t>
  </si>
  <si>
    <t>口腔动作仍是反射动作—流口水、牛奶溢出、哽呛动作不协调。</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</si>
  <si>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(14项)</t>
    </r>
  </si>
  <si>
    <r>
      <rPr>
        <b/>
        <u/>
        <sz val="11"/>
        <color theme="1"/>
        <rFont val="標楷體"/>
        <family val="4"/>
        <charset val="136"/>
      </rPr>
      <t>理解(听)</t>
    </r>
    <r>
      <rPr>
        <b/>
        <sz val="11"/>
        <color theme="1"/>
        <rFont val="標楷體"/>
        <family val="4"/>
        <charset val="136"/>
      </rPr>
      <t>(MLUY)(6项)</t>
    </r>
  </si>
  <si>
    <t>对他人的语音有回应。</t>
  </si>
  <si>
    <t>对他人语调的变化有反应(如：愤怒、嘻笑、悲伤)。</t>
  </si>
  <si>
    <t>对自己的名字有反应。</t>
  </si>
  <si>
    <t>认得妈妈。</t>
  </si>
  <si>
    <t>对友善的脸报以微笑。</t>
  </si>
  <si>
    <t>注视物品。</t>
  </si>
  <si>
    <r>
      <rPr>
        <b/>
        <u/>
        <sz val="11"/>
        <color theme="1"/>
        <rFont val="標楷體"/>
        <family val="4"/>
        <charset val="136"/>
      </rPr>
      <t>表达(说)</t>
    </r>
    <r>
      <rPr>
        <b/>
        <sz val="11"/>
        <color theme="1"/>
        <rFont val="標楷體"/>
        <family val="4"/>
        <charset val="136"/>
      </rPr>
      <t>(MLEY)(8项)</t>
    </r>
  </si>
  <si>
    <t>自我仿音，能用不同的声音来表达需求。</t>
  </si>
  <si>
    <t>夜间哭声减少。</t>
  </si>
  <si>
    <t>进入呀呀学语阶段，能将辅音和元音结合连续发出（如辅音b和元音a结合连续发出形成bɑ-bɑ-bɑ，mɑ-mɑ-mɑ）类似爸、妈的单音节语音。</t>
  </si>
  <si>
    <t>看见熟人、玩具能发出声音。</t>
  </si>
  <si>
    <t>会喃喃儿语。</t>
  </si>
  <si>
    <t>白天哭声减少。</t>
  </si>
  <si>
    <t>用眼睛寻找。</t>
  </si>
  <si>
    <t>以动作表情与人打招呼。</t>
  </si>
  <si>
    <t>6个月至9个月:9个月动作年龄发育阶段</t>
  </si>
  <si>
    <t>一般儿外在感知觉(OS)功能发育</t>
  </si>
  <si>
    <r>
      <rPr>
        <b/>
        <u/>
        <sz val="11"/>
        <color theme="1"/>
        <rFont val="標楷體"/>
        <family val="4"/>
        <charset val="136"/>
      </rPr>
      <t>视知觉</t>
    </r>
    <r>
      <rPr>
        <b/>
        <sz val="11"/>
        <color theme="1"/>
        <rFont val="標楷體"/>
        <family val="4"/>
        <charset val="136"/>
      </rPr>
      <t>(OSV)</t>
    </r>
    <r>
      <rPr>
        <b/>
        <sz val="11"/>
        <color theme="1"/>
        <rFont val="標楷體"/>
        <family val="4"/>
        <charset val="136"/>
      </rPr>
      <t>功能发育:(15项)</t>
    </r>
  </si>
  <si>
    <t>6-9个月</t>
  </si>
  <si>
    <t>认识家人(主要照顾的几人)。</t>
  </si>
  <si>
    <t>可从大照片中认出妈妈。</t>
  </si>
  <si>
    <t>开始对陌生人出现怕生害羞的反应。</t>
  </si>
  <si>
    <t>随着大人的视线或手势，而注意某人或物。</t>
  </si>
  <si>
    <t>会用手指要去的方向。</t>
  </si>
  <si>
    <t>会找藏在手帕正下方的玩具。</t>
  </si>
  <si>
    <t>面对陌生人会害羞、害怕。</t>
  </si>
  <si>
    <t>会主动拿着手帕玩躲猫猫的游戏。</t>
  </si>
  <si>
    <t>仰躺抬头巡视四周。</t>
  </si>
  <si>
    <t>前方有玩具会准确伸手取拿(实物)。</t>
  </si>
  <si>
    <t>看到喂食时有张口期待的反应。</t>
  </si>
  <si>
    <t>以各种可能的移位方式，到达目的拿自己想要的东西。</t>
  </si>
  <si>
    <t>能跟别人一起玩滚球、拍气球等。</t>
  </si>
  <si>
    <t>挥手表示再见(动作模仿)。</t>
  </si>
  <si>
    <t>面对陌生大人会害羞怕。</t>
  </si>
  <si>
    <r>
      <rPr>
        <b/>
        <u/>
        <sz val="11"/>
        <color theme="1"/>
        <rFont val="標楷體"/>
        <family val="4"/>
        <charset val="136"/>
      </rPr>
      <t>听知觉</t>
    </r>
    <r>
      <rPr>
        <b/>
        <sz val="11"/>
        <color theme="1"/>
        <rFont val="標楷體"/>
        <family val="4"/>
        <charset val="136"/>
      </rPr>
      <t>(OSH)</t>
    </r>
    <r>
      <rPr>
        <b/>
        <sz val="11"/>
        <color theme="1"/>
        <rFont val="標楷體"/>
        <family val="4"/>
        <charset val="136"/>
      </rPr>
      <t>功能发育:(9项)</t>
    </r>
  </si>
  <si>
    <t>听阈值35-40分貝(DB)。</t>
  </si>
  <si>
    <t>会模仿发某些音。</t>
  </si>
  <si>
    <t>寻找侧面、下面的声源。</t>
  </si>
  <si>
    <t>放在耳边较少声音会寻找。</t>
  </si>
  <si>
    <t>对动物叫声、车声、下雨声表示关心。</t>
  </si>
  <si>
    <t>隔壁传来声或远处呼唤他的名字可立即转头。</t>
  </si>
  <si>
    <t>无意听到某种声会尝试模仿发音。</t>
  </si>
  <si>
    <t>听到熟悉的声音、语汇会反应(人物、吃的、玩具等)。</t>
  </si>
  <si>
    <t>模仿发简单熟悉的声音。</t>
  </si>
  <si>
    <r>
      <rPr>
        <b/>
        <u/>
        <sz val="11"/>
        <color theme="1"/>
        <rFont val="標楷體"/>
        <family val="4"/>
        <charset val="136"/>
      </rPr>
      <t>触知觉</t>
    </r>
    <r>
      <rPr>
        <b/>
        <sz val="11"/>
        <color theme="1"/>
        <rFont val="標楷體"/>
        <family val="4"/>
        <charset val="136"/>
      </rPr>
      <t>(OST)</t>
    </r>
    <r>
      <rPr>
        <b/>
        <sz val="11"/>
        <color theme="1"/>
        <rFont val="標楷體"/>
        <family val="4"/>
        <charset val="136"/>
      </rPr>
      <t>功能发育:(8项)</t>
    </r>
  </si>
  <si>
    <t>身体、双手与嘴共同感觉周围环境。</t>
  </si>
  <si>
    <t>出现四处爬行感觉。</t>
  </si>
  <si>
    <t>出现手掌到处探索摸、玩。</t>
  </si>
  <si>
    <t>出现手握挤、转物品感觉。</t>
  </si>
  <si>
    <t>触觉感觉，用手指指尖操作(夹、捡、撕等活动)。</t>
  </si>
  <si>
    <t>区分冷热(吃过冷与过热的奶、水时会哭)。</t>
  </si>
  <si>
    <t>尿湿时会哭(区分干湿)。</t>
  </si>
  <si>
    <t>对轻拍或拥抱等安抚性刺激，会表现愉悦的感觉。</t>
  </si>
  <si>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(ISP)功能发育:(15项)</t>
    </r>
  </si>
  <si>
    <t>出現扶着跪，腿有力的跪立。</t>
  </si>
  <si>
    <t>手腕会旋转。</t>
  </si>
  <si>
    <t>会抓放东西(用力、方向适当)。</t>
  </si>
  <si>
    <t>能自如的释放手中之物或掷出手中之物。</t>
  </si>
  <si>
    <t>能自己拿东西吃。</t>
  </si>
  <si>
    <t>会把简单的东西组合起来。</t>
  </si>
  <si>
    <t>一手支撑一手拿东西，双手做不一样动作。</t>
  </si>
  <si>
    <t>手部协调活动，交换拿东西。</t>
  </si>
  <si>
    <t>双手拿物品互相敲击。</t>
  </si>
  <si>
    <t>双手双膝支撑(四点)爬行。</t>
  </si>
  <si>
    <t>用手指着远方物体，想办法移动身体去拿。</t>
  </si>
  <si>
    <t>模仿做简单的动作。</t>
  </si>
  <si>
    <t>手腕与手指独立动作。</t>
  </si>
  <si>
    <t>配合穿衣。</t>
  </si>
  <si>
    <t>肢体表达：手指、手遮、手挥。</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</si>
  <si>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功能发育:(9项)</t>
    </r>
  </si>
  <si>
    <t>灵活由仰卧转换成俯卧姿。</t>
  </si>
  <si>
    <t>灵活的翻滚动身体达到移位的目的。</t>
  </si>
  <si>
    <t>灵活从躺姿翻转成坐姿。</t>
  </si>
  <si>
    <t>灵活爬行移位拿东西。</t>
  </si>
  <si>
    <t>灵活从仰或俯卧姿翻身坐起，转换趴姿或爬姿。</t>
  </si>
  <si>
    <t>坐左右晃的电动车保持头直立。</t>
  </si>
  <si>
    <t>失去平衡时出现自我保护反应，会伸手预防自己倒下。</t>
  </si>
  <si>
    <t>由背后往后拉倾斜，会将头及手向前以取得身体平衡。</t>
  </si>
  <si>
    <t>坐姿双手玩玩具时，能维持坐姿平衡。</t>
  </si>
  <si>
    <r>
      <rPr>
        <b/>
        <sz val="12"/>
        <color theme="1"/>
        <rFont val="標楷體"/>
        <family val="4"/>
        <charset val="136"/>
      </rPr>
      <t>躯肢体粗大动作(GM)</t>
    </r>
    <r>
      <rPr>
        <b/>
        <sz val="12"/>
        <color theme="1"/>
        <rFont val="標楷體"/>
        <family val="4"/>
        <charset val="136"/>
      </rPr>
      <t>功能发育</t>
    </r>
    <r>
      <rPr>
        <b/>
        <sz val="12"/>
        <color theme="1"/>
        <rFont val="標楷體"/>
        <family val="4"/>
        <charset val="136"/>
      </rPr>
      <t>：</t>
    </r>
    <r>
      <rPr>
        <sz val="12"/>
        <color theme="1"/>
        <rFont val="標楷體"/>
        <family val="4"/>
        <charset val="136"/>
      </rPr>
      <t>(10项)</t>
    </r>
  </si>
  <si>
    <t>1.7 (M0S2)盘坐姿势摆位下，可情境诱导双上肢协同支撑地面2秒的姿势发育。</t>
  </si>
  <si>
    <t>1.8 (M0S2)跪坐姿势摆位下，可情境诱导双上肢协同支撑地面2秒的姿势发育。</t>
  </si>
  <si>
    <t>1.9 (M1S2)可情境诱导独立维持中线平面椅具(无靠背)2秒坐立姿的姿势发育。</t>
  </si>
  <si>
    <t>1.10(M1S2)下半身俯趴楔形垫及双上肢支撑地面摆位下，可情境诱导双上肢交替玩弄物品3下的活动</t>
  </si>
  <si>
    <t>发育。</t>
  </si>
  <si>
    <t>1.11(M1S2)双手部被动扶持摆位下，可情境诱导中线站立姿2秒的姿势发育。</t>
  </si>
  <si>
    <t>1.12(M1S2)双手部被动扶持摆位下，可情境诱导中线高跪姿2秒的姿势发育。</t>
  </si>
  <si>
    <t>(M1S2)双上臂被动扶持摆位下，可情境诱导向前跪走3步的活动发育。</t>
  </si>
  <si>
    <t>1.13(M1S2)双手部被动扶持摆位下，可情境诱导向前跪走3步的活动发育。</t>
  </si>
  <si>
    <t>(M1S2)俯趴地面摆位下，可情境诱导双上肢协同支撑地面2秒的姿势发育。</t>
  </si>
  <si>
    <t>1.14(M1S2)俯趴地面摆位下，可情境诱导双上肢交替支撑地面并向后坐立起1下的活动发育。</t>
  </si>
  <si>
    <r>
      <rPr>
        <b/>
        <sz val="12"/>
        <color theme="1"/>
        <rFont val="標楷體"/>
        <family val="4"/>
        <charset val="136"/>
      </rPr>
      <t>双上肢粗大动作(UE)</t>
    </r>
    <r>
      <rPr>
        <b/>
        <sz val="12"/>
        <color theme="1"/>
        <rFont val="標楷體"/>
        <family val="4"/>
        <charset val="136"/>
      </rPr>
      <t>功能发育</t>
    </r>
    <r>
      <rPr>
        <sz val="12"/>
        <color theme="1"/>
        <rFont val="標楷體"/>
        <family val="4"/>
        <charset val="136"/>
      </rPr>
      <t>：</t>
    </r>
    <r>
      <rPr>
        <sz val="12"/>
        <color theme="1"/>
        <rFont val="標楷體"/>
        <family val="4"/>
        <charset val="136"/>
      </rPr>
      <t>(13项)</t>
    </r>
  </si>
  <si>
    <r>
      <rPr>
        <b/>
        <u/>
        <sz val="11"/>
        <color theme="1"/>
        <rFont val="標楷體"/>
        <family val="4"/>
        <charset val="136"/>
      </rPr>
      <t>视动协调</t>
    </r>
    <r>
      <rPr>
        <b/>
        <sz val="11"/>
        <color theme="1"/>
        <rFont val="標楷體"/>
        <family val="4"/>
        <charset val="136"/>
      </rPr>
      <t>(UEM)(12项)</t>
    </r>
  </si>
  <si>
    <t>具备手眼协调能力。</t>
  </si>
  <si>
    <t>将玩具由一手移至另一手。</t>
  </si>
  <si>
    <t>用拇指、食指、中指和手掌抓住较小东西。</t>
  </si>
  <si>
    <t>自己拿饼干吃。</t>
  </si>
  <si>
    <t>用拇指、食指和中指抓拿东西。</t>
  </si>
  <si>
    <t>能控制释放手中物，掷出手中物。</t>
  </si>
  <si>
    <t>用姆指和食指的内侧面取物。</t>
  </si>
  <si>
    <t>手指和手腕能独立做动作。</t>
  </si>
  <si>
    <t>双手各自玩玩具，相互敲打。</t>
  </si>
  <si>
    <t>手腕可稍向上翘。</t>
  </si>
  <si>
    <t>连续拍掌3次。</t>
  </si>
  <si>
    <t>能依物品重量大小调整抓握能力。</t>
  </si>
  <si>
    <r>
      <rPr>
        <b/>
        <u/>
        <sz val="11"/>
        <color theme="1"/>
        <rFont val="標楷體"/>
        <family val="4"/>
        <charset val="136"/>
      </rPr>
      <t>操作技能</t>
    </r>
    <r>
      <rPr>
        <b/>
        <sz val="11"/>
        <color theme="1"/>
        <rFont val="標楷體"/>
        <family val="4"/>
        <charset val="136"/>
      </rPr>
      <t>(UES)(1项)</t>
    </r>
  </si>
  <si>
    <t>操作技能</t>
  </si>
  <si>
    <t>用一手抓纸揉成一团。</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</si>
  <si>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(1项)</t>
    </r>
  </si>
  <si>
    <t>在知道物体的方向，不用眼看可拿到物。</t>
  </si>
  <si>
    <r>
      <rPr>
        <b/>
        <sz val="12"/>
        <color theme="1"/>
        <rFont val="標楷體"/>
        <family val="4"/>
        <charset val="136"/>
      </rPr>
      <t>一般儿社会性(SI)互动功能发育:</t>
    </r>
    <r>
      <rPr>
        <b/>
        <sz val="12"/>
        <color theme="1"/>
        <rFont val="標楷體"/>
        <family val="4"/>
        <charset val="136"/>
      </rPr>
      <t>(15项)</t>
    </r>
  </si>
  <si>
    <r>
      <rPr>
        <b/>
        <u/>
        <sz val="11"/>
        <color theme="1"/>
        <rFont val="標楷體"/>
        <family val="4"/>
        <charset val="136"/>
      </rPr>
      <t>与人互动</t>
    </r>
    <r>
      <rPr>
        <b/>
        <sz val="11"/>
        <color theme="1"/>
        <rFont val="標楷體"/>
        <family val="4"/>
        <charset val="136"/>
      </rPr>
      <t>(SIP)(8项)</t>
    </r>
  </si>
  <si>
    <t>出现喜欢熟人，但无区分的接受所有人的关注。</t>
  </si>
  <si>
    <t>当陌生人靠近会哭或转开。</t>
  </si>
  <si>
    <t>会玩躲猫猫。</t>
  </si>
  <si>
    <t>当大人要拿走玩具时，会表现出抗拒(如：抓住不放)。</t>
  </si>
  <si>
    <t>会寻求自己喜欢的人接近与接触。</t>
  </si>
  <si>
    <t>看到陌生人时，会显示强烈的依赖母亲。</t>
  </si>
  <si>
    <t>当看到照顾者离开，会注意及发出声音。</t>
  </si>
  <si>
    <t>当听到名字时会转头注视及笑。</t>
  </si>
  <si>
    <r>
      <rPr>
        <b/>
        <u/>
        <sz val="11"/>
        <color theme="1"/>
        <rFont val="標楷體"/>
        <family val="4"/>
        <charset val="136"/>
      </rPr>
      <t>与其他互动</t>
    </r>
    <r>
      <rPr>
        <b/>
        <sz val="11"/>
        <color theme="1"/>
        <rFont val="標楷體"/>
        <family val="4"/>
        <charset val="136"/>
      </rPr>
      <t>(SIE)(3项)</t>
    </r>
    <r>
      <rPr>
        <b/>
        <u/>
        <sz val="11"/>
        <color theme="1"/>
        <rFont val="標楷體"/>
        <family val="4"/>
        <charset val="136"/>
      </rPr>
      <t xml:space="preserve"> </t>
    </r>
  </si>
  <si>
    <t>陌生环境离开父母时会哭及寻找。</t>
  </si>
  <si>
    <t>会设法取较远的玩具。</t>
  </si>
  <si>
    <t>会摸镜中自己的影像。</t>
  </si>
  <si>
    <r>
      <rPr>
        <b/>
        <u/>
        <sz val="11"/>
        <color theme="1"/>
        <rFont val="標楷體"/>
        <family val="4"/>
        <charset val="136"/>
      </rPr>
      <t>情绪与自我</t>
    </r>
    <r>
      <rPr>
        <b/>
        <sz val="11"/>
        <color theme="1"/>
        <rFont val="標楷體"/>
        <family val="4"/>
        <charset val="136"/>
      </rPr>
      <t>(SIS)(4项)</t>
    </r>
  </si>
  <si>
    <t>发展出高兴和愤怒。</t>
  </si>
  <si>
    <t>发出不同情绪的声音。</t>
  </si>
  <si>
    <t>会恐惧陌生人。</t>
  </si>
  <si>
    <t>对自己和他人的区分更加巩固。</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</si>
  <si>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(21项)</t>
    </r>
  </si>
  <si>
    <t>注意的范围更广，会把注意力集中到他感兴趣的玩具和事物上。</t>
  </si>
  <si>
    <t>能随物体上下，左右移动。</t>
  </si>
  <si>
    <t>开始厌烦做熟悉的事情，转向未知领域。</t>
  </si>
  <si>
    <t>可以模仿大人的声音。</t>
  </si>
  <si>
    <t>可以坐在地板上专心致志地玩自己感兴趣的玩具。</t>
  </si>
  <si>
    <r>
      <rPr>
        <b/>
        <u/>
        <sz val="11"/>
        <color theme="1"/>
        <rFont val="標楷體"/>
        <family val="4"/>
        <charset val="136"/>
      </rPr>
      <t>记忆</t>
    </r>
    <r>
      <rPr>
        <b/>
        <sz val="11"/>
        <color theme="1"/>
        <rFont val="標楷體"/>
        <family val="4"/>
        <charset val="136"/>
      </rPr>
      <t>(MR)(5项)</t>
    </r>
  </si>
  <si>
    <t>具备物体的恒存性，能意识到看不见的物体依然存在。</t>
  </si>
  <si>
    <t>能够辨别人物面孔的细微的差别。</t>
  </si>
  <si>
    <t>视觉记忆提高，喜欢认图片。</t>
  </si>
  <si>
    <t>能记住父母重复多次的讲话或动作。</t>
  </si>
  <si>
    <t>能模仿24小时之前看到的某个榜样。</t>
  </si>
  <si>
    <r>
      <rPr>
        <b/>
        <u/>
        <sz val="11"/>
        <color theme="1"/>
        <rFont val="標楷體"/>
        <family val="4"/>
        <charset val="136"/>
      </rPr>
      <t>概念</t>
    </r>
    <r>
      <rPr>
        <b/>
        <sz val="12"/>
        <color theme="1"/>
        <rFont val="標楷體"/>
        <family val="4"/>
        <charset val="136"/>
      </rPr>
      <t>(MC)</t>
    </r>
    <r>
      <rPr>
        <b/>
        <sz val="11"/>
        <color theme="1"/>
        <rFont val="標楷體"/>
        <family val="4"/>
        <charset val="136"/>
      </rPr>
      <t>(8项)</t>
    </r>
  </si>
  <si>
    <t>懂得“不”字的概念。</t>
  </si>
  <si>
    <t>能辨别物体大小、形状及移动速度。</t>
  </si>
  <si>
    <t>能区别简单的几何图形，观察物体的不同形状。</t>
  </si>
  <si>
    <t>可以认识自我，以及自己与别人的不同(自我意识萌芽)。</t>
  </si>
  <si>
    <t>如果让婴儿对着镜子照一会儿，然后将红颜色涂在他的鼻子上，婴儿会摸自己的鼻子。</t>
  </si>
  <si>
    <t>对上升和下降的概念有初步的了解。</t>
  </si>
  <si>
    <t>能够大概指认自己的五官。</t>
  </si>
  <si>
    <t>有了最初的自我意识萌芽(尚未精熟的动作认知)。</t>
  </si>
  <si>
    <r>
      <rPr>
        <b/>
        <u/>
        <sz val="11"/>
        <color theme="1"/>
        <rFont val="標楷體"/>
        <family val="4"/>
        <charset val="136"/>
      </rPr>
      <t>推理</t>
    </r>
    <r>
      <rPr>
        <b/>
        <sz val="12"/>
        <color theme="1"/>
        <rFont val="標楷體"/>
        <family val="4"/>
        <charset val="136"/>
      </rPr>
      <t>(MI)</t>
    </r>
    <r>
      <rPr>
        <b/>
        <sz val="11"/>
        <color theme="1"/>
        <rFont val="標楷體"/>
        <family val="4"/>
        <charset val="136"/>
      </rPr>
      <t>(3项)</t>
    </r>
  </si>
  <si>
    <t>发展出有意的手段—目的行动序列。利用他们来解决简单的问题(如拉一块布来获得放在它远端的玩具)。</t>
  </si>
  <si>
    <t>理解大人面部表情。</t>
  </si>
  <si>
    <t>出现用新方法玩玩具(或玩其他类似物品)。</t>
  </si>
  <si>
    <r>
      <rPr>
        <b/>
        <sz val="12"/>
        <color theme="1"/>
        <rFont val="標楷體"/>
        <family val="4"/>
        <charset val="136"/>
      </rPr>
      <t>一般儿口腔动作(OM)</t>
    </r>
    <r>
      <rPr>
        <b/>
        <sz val="12"/>
        <color theme="1"/>
        <rFont val="標楷體"/>
        <family val="4"/>
        <charset val="136"/>
      </rPr>
      <t>功能</t>
    </r>
    <r>
      <rPr>
        <b/>
        <sz val="12"/>
        <color theme="1"/>
        <rFont val="標楷體"/>
        <family val="4"/>
        <charset val="136"/>
      </rPr>
      <t>发育</t>
    </r>
    <r>
      <rPr>
        <b/>
        <sz val="11"/>
        <color theme="1"/>
        <rFont val="標楷體"/>
        <family val="4"/>
        <charset val="136"/>
      </rPr>
      <t>:(4项)</t>
    </r>
  </si>
  <si>
    <t>唇紧闭，水杯喝水不漏水。</t>
  </si>
  <si>
    <t>舌头灵活，咀嚼固体食物及饼干。</t>
  </si>
  <si>
    <t>口腔动作已较能控制，双唇会从汤匙上抿下食物。</t>
  </si>
  <si>
    <t>舌头已是成熟的上下动方式但咀嚼仍不协调。</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</si>
  <si>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(15项)</t>
    </r>
  </si>
  <si>
    <r>
      <rPr>
        <b/>
        <u/>
        <sz val="11"/>
        <color theme="1"/>
        <rFont val="標楷體"/>
        <family val="4"/>
        <charset val="136"/>
      </rPr>
      <t>理解(听)</t>
    </r>
    <r>
      <rPr>
        <b/>
        <sz val="11"/>
        <color theme="1"/>
        <rFont val="標楷體"/>
        <family val="4"/>
        <charset val="136"/>
      </rPr>
      <t>(MLUY)(9项)</t>
    </r>
  </si>
  <si>
    <t>对简单的要求有适当的反应(如：吃、挥手再见)。</t>
  </si>
  <si>
    <t>听懂成人语言并配合辨别语调表情的判断(配合情景)。</t>
  </si>
  <si>
    <t>记忆能力加强以了解字义。</t>
  </si>
  <si>
    <t>能听懂几个字，包括自己的名字及家庭成员的称呼。</t>
  </si>
  <si>
    <t>能区分肯定句与问句的语气。</t>
  </si>
  <si>
    <t>认识家人。</t>
  </si>
  <si>
    <t>可以从照片中认出妈妈。</t>
  </si>
  <si>
    <t>随着大人的视线或手势，注意某人或某物。</t>
  </si>
  <si>
    <t>理解大人表情。</t>
  </si>
  <si>
    <r>
      <rPr>
        <b/>
        <u/>
        <sz val="11"/>
        <color theme="1"/>
        <rFont val="標楷體"/>
        <family val="4"/>
        <charset val="136"/>
      </rPr>
      <t>表达(说)</t>
    </r>
    <r>
      <rPr>
        <b/>
        <sz val="11"/>
        <color theme="1"/>
        <rFont val="標楷體"/>
        <family val="4"/>
        <charset val="136"/>
      </rPr>
      <t>(MLEY)(6项)</t>
    </r>
  </si>
  <si>
    <t>说出第一个单字，看人连结成bɑ、mɑ。</t>
  </si>
  <si>
    <t>有意图的非口语的语词行为。</t>
  </si>
  <si>
    <t>会发出咳嗽声、咕噜声、尖叫。</t>
  </si>
  <si>
    <t>能模仿他人的脸部表情、动作和声音。※初期萌芽的模仿能力。</t>
  </si>
  <si>
    <t>以动作要求抱。</t>
  </si>
  <si>
    <t>以注视、及寻找物品的方式表达所要的东西。</t>
  </si>
  <si>
    <t>9个月至12个月:1岁动作年龄发育阶段</t>
  </si>
  <si>
    <r>
      <rPr>
        <b/>
        <u/>
        <sz val="11"/>
        <color theme="1"/>
        <rFont val="標楷體"/>
        <family val="4"/>
        <charset val="136"/>
      </rPr>
      <t>视知觉</t>
    </r>
    <r>
      <rPr>
        <b/>
        <sz val="11"/>
        <color theme="1"/>
        <rFont val="標楷體"/>
        <family val="4"/>
        <charset val="136"/>
      </rPr>
      <t>(OSV)</t>
    </r>
    <r>
      <rPr>
        <b/>
        <sz val="11"/>
        <color theme="1"/>
        <rFont val="標楷體"/>
        <family val="4"/>
        <charset val="136"/>
      </rPr>
      <t>功能发育:(6项)</t>
    </r>
  </si>
  <si>
    <t>9-12个月</t>
  </si>
  <si>
    <t>视觉对比敏感度，达到成人水平。</t>
  </si>
  <si>
    <t>会持续注视物品的去向。</t>
  </si>
  <si>
    <t>能将图形积木放入积木凹槽内。</t>
  </si>
  <si>
    <t>当他的面把东西藏起来，会去寻找。</t>
  </si>
  <si>
    <t>在注视下把玩具藏起来，过一阵会去寻找。</t>
  </si>
  <si>
    <t>能记住东西摆放的位置。</t>
  </si>
  <si>
    <r>
      <rPr>
        <b/>
        <u/>
        <sz val="11"/>
        <color theme="1"/>
        <rFont val="標楷體"/>
        <family val="4"/>
        <charset val="136"/>
      </rPr>
      <t>听知觉</t>
    </r>
    <r>
      <rPr>
        <b/>
        <sz val="11"/>
        <color theme="1"/>
        <rFont val="標楷體"/>
        <family val="4"/>
        <charset val="136"/>
      </rPr>
      <t>(OSH)</t>
    </r>
    <r>
      <rPr>
        <b/>
        <sz val="11"/>
        <color theme="1"/>
        <rFont val="標楷體"/>
        <family val="4"/>
        <charset val="136"/>
      </rPr>
      <t>功能发育:(5项)</t>
    </r>
  </si>
  <si>
    <t>听阈值25-35分貝(DB)。</t>
  </si>
  <si>
    <t>听到叫别人的名字会反应。</t>
  </si>
  <si>
    <t>听到大部分物品的名称会反应。</t>
  </si>
  <si>
    <t>听到叫他时会过来(包含滚动、爬行、跪走、走路)。</t>
  </si>
  <si>
    <t>会遵照听到的指令拿玩具给某人。</t>
  </si>
  <si>
    <r>
      <rPr>
        <b/>
        <u/>
        <sz val="11"/>
        <color theme="1"/>
        <rFont val="標楷體"/>
        <family val="4"/>
        <charset val="136"/>
      </rPr>
      <t>触知觉</t>
    </r>
    <r>
      <rPr>
        <b/>
        <sz val="11"/>
        <color theme="1"/>
        <rFont val="標楷體"/>
        <family val="4"/>
        <charset val="136"/>
      </rPr>
      <t>(OST)</t>
    </r>
    <r>
      <rPr>
        <b/>
        <sz val="11"/>
        <color theme="1"/>
        <rFont val="標楷體"/>
        <family val="4"/>
        <charset val="136"/>
      </rPr>
      <t>功能发育:(4项)</t>
    </r>
  </si>
  <si>
    <t>把玩具放入口中的机率逐渐减少。</t>
  </si>
  <si>
    <t>触觉和其他感觉联系在一起使用，通过看、听、摸顺利的完成任务。</t>
  </si>
  <si>
    <t>能感觉到或粗略指出被触碰的身体部位。</t>
  </si>
  <si>
    <t>通过不断的触摸，简单理解物品的用法和玩法。</t>
  </si>
  <si>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(ISP)功能发育:(12项)</t>
    </r>
  </si>
  <si>
    <t>闭眼后会粗略指出身体部位(头、脚、手等)。</t>
  </si>
  <si>
    <t>扶家具可站立起和行走取物。</t>
  </si>
  <si>
    <t>站立时，脚支撑与平衡身体。</t>
  </si>
  <si>
    <t>把玩具粗略地放入指定的位置。</t>
  </si>
  <si>
    <t>动作模仿-用肢体表示喝水、吃饭(正确使用日常物品)。</t>
  </si>
  <si>
    <t>指尖有力，可撕纸。</t>
  </si>
  <si>
    <t>双侧同向动作敲打，举手。</t>
  </si>
  <si>
    <t>食指伸直按开关，其余手指弯曲。</t>
  </si>
  <si>
    <t>模仿连续拍手。</t>
  </si>
  <si>
    <t>双侧协同灵活操作(用力得当、方向准确)。</t>
  </si>
  <si>
    <t>指尖用力可脱下袜子。</t>
  </si>
  <si>
    <t>会自己喂食。</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</si>
  <si>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功能发育:(8项)</t>
    </r>
  </si>
  <si>
    <t>熟练爬行保持身体的平衡。</t>
  </si>
  <si>
    <t>自由转移姿势(坐、站、爬等)。</t>
  </si>
  <si>
    <t>可攀物可站起来。</t>
  </si>
  <si>
    <t>站立跨出1步，扑入大人怀中。</t>
  </si>
  <si>
    <t>可跨步行走姿态(用双脚来支撑与维持平衡身体)。</t>
  </si>
  <si>
    <t>由前方将他向后推45度，一或双手向后支撑不致跌倒。</t>
  </si>
  <si>
    <t>转身拿背后的玩具不会失去平衡。</t>
  </si>
  <si>
    <t>独立站立姿1分钟不会失去平衡。</t>
  </si>
  <si>
    <t>2.1(M1S2)俯趴及双侧肢体支撑地面摆位下，可情境诱导维持中线四点支撑爬姿2秒的姿势发育。</t>
  </si>
  <si>
    <t>(M1S2)可情境诱导独立维持中线跪坐姿(双手无保护性支撑地面)2秒的姿势发育。</t>
  </si>
  <si>
    <t>(M1S2)可情境诱导独立维持中线长坐姿(双膝伸直)2秒的姿势发育。</t>
  </si>
  <si>
    <t>(M1S2)双手保护性扶持抓握物品摆位下，可情境诱导中线高跪姿2秒的姿势发育。</t>
  </si>
  <si>
    <t>2.2(M2S2)可情境诱导独立维持中线爬行3步的活动发育。</t>
  </si>
  <si>
    <t>2.3(M2S2)双手自主扶持高位固定物品摆位下，可情境诱导维持中線高跪姿2秒的姿势发育。</t>
  </si>
  <si>
    <t>2.4(M2S2)双手扶持高位固定物品摆位下，可情境诱导自主推行物品向前跪走3步的活动发育。</t>
  </si>
  <si>
    <t xml:space="preserve">   (M2S2)独立跪坐姿摆位下，可情境诱导双上肢交替玩弄前方物品3下的活动发育。</t>
  </si>
  <si>
    <t>2.5(M2S2)各单手被动扶持摆位下，可情境诱导维持中线向前跪走3步的活动发育。</t>
  </si>
  <si>
    <t xml:space="preserve">   (M2S2)独立长坐姿(双膝伸直)摆位下，可情境诱导双上肢交替玩弄前方物品3下的活动发育。</t>
  </si>
  <si>
    <r>
      <rPr>
        <b/>
        <u/>
        <sz val="11"/>
        <color theme="1"/>
        <rFont val="標楷體"/>
        <family val="4"/>
        <charset val="136"/>
      </rPr>
      <t>视动协调</t>
    </r>
    <r>
      <rPr>
        <b/>
        <sz val="11"/>
        <color theme="1"/>
        <rFont val="標楷體"/>
        <family val="4"/>
        <charset val="136"/>
      </rPr>
      <t>(UEM)(5项)</t>
    </r>
  </si>
  <si>
    <t>约略出惯用手。(右手；左手)</t>
  </si>
  <si>
    <t>一手握有一物后再拿第二物。</t>
  </si>
  <si>
    <t>会旋转手腕。(右手；左手)</t>
  </si>
  <si>
    <t>用一手抓两样物品。</t>
  </si>
  <si>
    <t>能丢东西。(右手；左手)</t>
  </si>
  <si>
    <r>
      <rPr>
        <b/>
        <u/>
        <sz val="11"/>
        <color theme="1"/>
        <rFont val="標楷體"/>
        <family val="4"/>
        <charset val="136"/>
      </rPr>
      <t>操作技能</t>
    </r>
    <r>
      <rPr>
        <b/>
        <sz val="11"/>
        <color theme="1"/>
        <rFont val="標楷體"/>
        <family val="4"/>
        <charset val="136"/>
      </rPr>
      <t>(UES)(2项)</t>
    </r>
  </si>
  <si>
    <t>适当的握住蜡笔。</t>
  </si>
  <si>
    <t>模仿拿笔乱涂鸦。(右手；左手)</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</si>
  <si>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(6项)</t>
    </r>
  </si>
  <si>
    <t>会翻厚书一次一页。</t>
  </si>
  <si>
    <t>会推玩小汽车。</t>
  </si>
  <si>
    <t>指尖可持续用力。</t>
  </si>
  <si>
    <t>会悬腕用拇食指取物。</t>
  </si>
  <si>
    <t>会用姆指及食指尖抓小物品。</t>
  </si>
  <si>
    <t>把东西放在容器里。</t>
  </si>
  <si>
    <r>
      <rPr>
        <b/>
        <sz val="12"/>
        <color theme="1"/>
        <rFont val="標楷體"/>
        <family val="4"/>
        <charset val="136"/>
      </rPr>
      <t>一般儿社会性(SI)互动功能发育:</t>
    </r>
    <r>
      <rPr>
        <b/>
        <sz val="12"/>
        <color theme="1"/>
        <rFont val="標楷體"/>
        <family val="4"/>
        <charset val="136"/>
      </rPr>
      <t xml:space="preserve"> (35项)</t>
    </r>
  </si>
  <si>
    <r>
      <rPr>
        <b/>
        <u/>
        <sz val="11"/>
        <color theme="1"/>
        <rFont val="標楷體"/>
        <family val="4"/>
        <charset val="136"/>
      </rPr>
      <t>与人互动</t>
    </r>
    <r>
      <rPr>
        <b/>
        <sz val="11"/>
        <color theme="1"/>
        <rFont val="標楷體"/>
        <family val="4"/>
        <charset val="136"/>
      </rPr>
      <t>(SIP)(18项)</t>
    </r>
  </si>
  <si>
    <t>会跟着别人的动作，以单纯会的动作或简单的声音做反应。</t>
  </si>
  <si>
    <t>会相互微笑。</t>
  </si>
  <si>
    <t>学走时怕与母亲分开。</t>
  </si>
  <si>
    <t>会模仿成人一些简单手势和语言。</t>
  </si>
  <si>
    <t>当别人笑时，会重复表演(如：敲东西)。</t>
  </si>
  <si>
    <t>能和大人挥手再见。</t>
  </si>
  <si>
    <t>会对别人的警告而抑制自己行为。</t>
  </si>
  <si>
    <t>会学习其他儿童的行为和声音。</t>
  </si>
  <si>
    <t>对大人的逗弄会点头、动嘴、伸舌及摆动身体。</t>
  </si>
  <si>
    <t>见陌生人会害羞。</t>
  </si>
  <si>
    <t>会和其他小孩一起玩。</t>
  </si>
  <si>
    <t>见到陌生人不再惊恐，会依大人吩咐拍手、再见。</t>
  </si>
  <si>
    <t>会牙牙学语回应父母的话。</t>
  </si>
  <si>
    <t>会想动手触摸对方。</t>
  </si>
  <si>
    <t>会在要求下把物品给人。</t>
  </si>
  <si>
    <t>会用情绪与大人沟通(如：用发脾气表达想睡觉)。</t>
  </si>
  <si>
    <t>会出现互动的行为(如：大笑、打手势、模仿)。</t>
  </si>
  <si>
    <t>开始与大人玩平衡游戏。</t>
  </si>
  <si>
    <r>
      <rPr>
        <b/>
        <u/>
        <sz val="11"/>
        <color theme="1"/>
        <rFont val="標楷體"/>
        <family val="4"/>
        <charset val="136"/>
      </rPr>
      <t>与其他互动</t>
    </r>
    <r>
      <rPr>
        <b/>
        <sz val="11"/>
        <color theme="1"/>
        <rFont val="標楷體"/>
        <family val="4"/>
        <charset val="136"/>
      </rPr>
      <t>(SIE)(6项)</t>
    </r>
  </si>
  <si>
    <t>会抓别人衣服、玩具。</t>
  </si>
  <si>
    <t>没人管时，会做自己的事。</t>
  </si>
  <si>
    <t>会以手指出要去的地方或东西。</t>
  </si>
  <si>
    <t>会抓汤匙。</t>
  </si>
  <si>
    <t>可拉下头上的帽子。</t>
  </si>
  <si>
    <t>会抱怨失去玩具或与大人分开。</t>
  </si>
  <si>
    <r>
      <rPr>
        <b/>
        <u/>
        <sz val="11"/>
        <color theme="1"/>
        <rFont val="標楷體"/>
        <family val="4"/>
        <charset val="136"/>
      </rPr>
      <t>情绪与自我</t>
    </r>
    <r>
      <rPr>
        <b/>
        <sz val="11"/>
        <color theme="1"/>
        <rFont val="標楷體"/>
        <family val="4"/>
        <charset val="136"/>
      </rPr>
      <t>(SIS)(11项)</t>
    </r>
  </si>
  <si>
    <t>理解大人脸上的表情是高兴还是生气。</t>
  </si>
  <si>
    <t>快乐又可以分为是高兴还是喜欢。</t>
  </si>
  <si>
    <t>会逃避或接近来调节情绪。</t>
  </si>
  <si>
    <t>感情更丰富，初步有害怕、生气、喜爱、忌妒等情感。</t>
  </si>
  <si>
    <t>能解读他人情绪的讯息以决定自己的行为。</t>
  </si>
  <si>
    <t>移情出现:能对他人的情绪有所认识而共鸣或响应(如：安慰他人)。</t>
  </si>
  <si>
    <t>对镜子感兴趣但对镜中的自我不感兴趣。</t>
  </si>
  <si>
    <t>会通过动作和身体的一致性认出自己。</t>
  </si>
  <si>
    <t>会认识自己是永久存在的，具有稳定、连续的特征。</t>
  </si>
  <si>
    <t>听到名字时，会知道有反应(如：停止活动注意听)。</t>
  </si>
  <si>
    <t>对镜中自我形象很感兴趣。</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</si>
  <si>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(17项)</t>
    </r>
  </si>
  <si>
    <r>
      <rPr>
        <b/>
        <u/>
        <sz val="11"/>
        <color theme="1"/>
        <rFont val="標楷體"/>
        <family val="4"/>
        <charset val="136"/>
      </rPr>
      <t>注意</t>
    </r>
    <r>
      <rPr>
        <b/>
        <sz val="11"/>
        <color theme="1"/>
        <rFont val="標楷體"/>
        <family val="4"/>
        <charset val="136"/>
      </rPr>
      <t>(MA)(4项)</t>
    </r>
    <r>
      <rPr>
        <sz val="11"/>
        <color theme="1"/>
        <rFont val="標楷體"/>
        <family val="4"/>
        <charset val="136"/>
      </rPr>
      <t xml:space="preserve"> </t>
    </r>
  </si>
  <si>
    <t>对感兴趣的事物会长时间的观察。</t>
  </si>
  <si>
    <t>能准确判断声源的方向，并用两眼看声源。</t>
  </si>
  <si>
    <t>出现摆弄物品。</t>
  </si>
  <si>
    <t>在听到一段音乐之后能模仿一些事，包括模仿动物的叫声。</t>
  </si>
  <si>
    <t>能认识属于自己的玩具、衣物。</t>
  </si>
  <si>
    <t>能找到家里的常见东西(如：电视机在哪里？)。</t>
  </si>
  <si>
    <t>能记住短小的故事，但往往是机械式的无意识记忆。</t>
  </si>
  <si>
    <t>能记得几天前的事。</t>
  </si>
  <si>
    <r>
      <rPr>
        <b/>
        <u/>
        <sz val="11"/>
        <color theme="1"/>
        <rFont val="標楷體"/>
        <family val="4"/>
        <charset val="136"/>
      </rPr>
      <t>概念</t>
    </r>
    <r>
      <rPr>
        <b/>
        <sz val="11"/>
        <color theme="1"/>
        <rFont val="標楷體"/>
        <family val="4"/>
        <charset val="136"/>
      </rPr>
      <t>(MC)(5项)</t>
    </r>
  </si>
  <si>
    <t>大约能听懂20个字左右。</t>
  </si>
  <si>
    <t>能将词音与具体事物联系起来。</t>
  </si>
  <si>
    <t>能准确分辨“红、绿、黄、蓝”四色。</t>
  </si>
  <si>
    <t>知道常见物品的名称并会指认。</t>
  </si>
  <si>
    <t>能听懂“拿”“坐”“给”等动词。</t>
  </si>
  <si>
    <t>能够寻找隐藏起来的物品。</t>
  </si>
  <si>
    <t>开始建立时间、空间和因果关系(如：看到倒水盆里就知道等待洗澡)。</t>
  </si>
  <si>
    <t>可以用类推来解决问题(即取得来自一个问题的策略然后把它应用于其他相关的问题)。</t>
  </si>
  <si>
    <t>拿掉积木的盒子玩积木。</t>
  </si>
  <si>
    <r>
      <rPr>
        <b/>
        <sz val="12"/>
        <color theme="1"/>
        <rFont val="標楷體"/>
        <family val="4"/>
        <charset val="136"/>
      </rPr>
      <t>一般儿口腔动作(0M)</t>
    </r>
    <r>
      <rPr>
        <b/>
        <sz val="12"/>
        <color theme="1"/>
        <rFont val="標楷體"/>
        <family val="4"/>
        <charset val="136"/>
      </rPr>
      <t>功能</t>
    </r>
    <r>
      <rPr>
        <b/>
        <sz val="12"/>
        <color theme="1"/>
        <rFont val="標楷體"/>
        <family val="4"/>
        <charset val="136"/>
      </rPr>
      <t>发育：</t>
    </r>
    <r>
      <rPr>
        <b/>
        <sz val="12"/>
        <color theme="1"/>
        <rFont val="標楷體"/>
        <family val="4"/>
        <charset val="136"/>
      </rPr>
      <t>(6项)</t>
    </r>
  </si>
  <si>
    <t>舌头有旋转动作。</t>
  </si>
  <si>
    <t>咀嚼能力增强。</t>
  </si>
  <si>
    <t>吸奶、吞咽、呼吸配合进步，咬软食控制好些。</t>
  </si>
  <si>
    <t>嘴唇闭合能力成熟维持紧闭。</t>
  </si>
  <si>
    <t>稳定地控制喝水速度。</t>
  </si>
  <si>
    <t>喝水有进步，因下颌的稳定性仍不够，要么就张口很大要喝水，要么就是口腔开合困难不好喝水</t>
  </si>
  <si>
    <t>(喝水依然漏水或咬杯子)。</t>
  </si>
  <si>
    <r>
      <rPr>
        <b/>
        <u/>
        <sz val="11"/>
        <color theme="1"/>
        <rFont val="標楷體"/>
        <family val="4"/>
        <charset val="136"/>
      </rPr>
      <t>理解(听)</t>
    </r>
    <r>
      <rPr>
        <b/>
        <sz val="11"/>
        <color theme="1"/>
        <rFont val="標楷體"/>
        <family val="4"/>
        <charset val="136"/>
      </rPr>
      <t>(MLUY)(8项)</t>
    </r>
  </si>
  <si>
    <t>听懂常见物及人的名称。</t>
  </si>
  <si>
    <t>叫他时会过来(包含滚动、爬行、跪走、走路)。</t>
  </si>
  <si>
    <t>听得懂不可以、不行、不要等意思。</t>
  </si>
  <si>
    <t>向他索取东西时，知道给。</t>
  </si>
  <si>
    <t>认识常见物。</t>
  </si>
  <si>
    <t>能看懂一些简单的动作或手势，而有所反应。</t>
  </si>
  <si>
    <t>可以看图认字活动。</t>
  </si>
  <si>
    <t>可从书中认识图画和颜色。</t>
  </si>
  <si>
    <t>能发出同一音节的不同音调即二声、三声、四声。</t>
  </si>
  <si>
    <t>能模仿发音。※初期萌芽的模仿能力。</t>
  </si>
  <si>
    <t>语音和具体物链接有一定意思。</t>
  </si>
  <si>
    <t>能模仿动物的叫声。※初期萌芽的模仿能力。</t>
  </si>
  <si>
    <t>有意识的发几个字音，出现难懂的话。</t>
  </si>
  <si>
    <t>能用食指指物。</t>
  </si>
  <si>
    <t>1岁至1岁半:1岁半动作年龄发育阶段</t>
  </si>
  <si>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(ISP)功能发育:(9项)</t>
    </r>
  </si>
  <si>
    <t>1-1.5岁</t>
  </si>
  <si>
    <t>优势手出现。</t>
  </si>
  <si>
    <t>手肘弯曲往前用力掷出小球给对方。</t>
  </si>
  <si>
    <t>自己拿杯子喝水，汤勺进食。</t>
  </si>
  <si>
    <t>能了解并做出一般社交性的动作，如：亲亲、抱抱的。</t>
  </si>
  <si>
    <t>知道自己身体的位置及身体各部位的功能。</t>
  </si>
  <si>
    <t>双侧做不同方向动作。</t>
  </si>
  <si>
    <t>会想办法拿物品。</t>
  </si>
  <si>
    <t>两侧协同分工合作完成操作(主手、副手)。</t>
  </si>
  <si>
    <t>小跑步时协调(已具备稳定的行走姿态)。</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</si>
  <si>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功能发育:(3项)</t>
    </r>
  </si>
  <si>
    <t>双手、双膝爬阶梯两阶(出现攀爬)。</t>
  </si>
  <si>
    <t>长坐姿转头可维持平衡。</t>
  </si>
  <si>
    <t>手伸到头上方掷出小球，能维持身体平衡。</t>
  </si>
  <si>
    <r>
      <rPr>
        <b/>
        <sz val="12"/>
        <color theme="1"/>
        <rFont val="標楷體"/>
        <family val="4"/>
        <charset val="136"/>
      </rPr>
      <t>躯肢体粗大动作(GM)</t>
    </r>
    <r>
      <rPr>
        <b/>
        <sz val="12"/>
        <color theme="1"/>
        <rFont val="標楷體"/>
        <family val="4"/>
        <charset val="136"/>
      </rPr>
      <t>功能发育</t>
    </r>
    <r>
      <rPr>
        <b/>
        <sz val="12"/>
        <color theme="1"/>
        <rFont val="標楷體"/>
        <family val="4"/>
        <charset val="136"/>
      </rPr>
      <t>：</t>
    </r>
    <r>
      <rPr>
        <sz val="12"/>
        <color theme="1"/>
        <rFont val="標楷體"/>
        <family val="4"/>
        <charset val="136"/>
      </rPr>
      <t>(4项)</t>
    </r>
  </si>
  <si>
    <t>(M2S2)双手自主扶持高位固定物品摆位下，可情境诱导维持中线站立姿2秒的姿势发育。</t>
  </si>
  <si>
    <t>(M2S2)双手自主扶墙面及高跪姿摆位下，可情境诱导双上肢交替玩弄墙面物品3下的</t>
  </si>
  <si>
    <t>活动发育。</t>
  </si>
  <si>
    <t>2.6(M2S2)跪坐姿摆位下，可情境诱导独立维持中线高跪姿2秒的姿势发育。</t>
  </si>
  <si>
    <t xml:space="preserve">   (M2S2)独立高跪姿摆位下，可情境诱导双上肢交替玩弄前方物品3下的活动发育。</t>
  </si>
  <si>
    <r>
      <rPr>
        <b/>
        <u/>
        <sz val="11"/>
        <color theme="1"/>
        <rFont val="標楷體"/>
        <family val="4"/>
        <charset val="136"/>
      </rPr>
      <t>操作技能</t>
    </r>
    <r>
      <rPr>
        <b/>
        <sz val="11"/>
        <color theme="1"/>
        <rFont val="標楷體"/>
        <family val="4"/>
        <charset val="136"/>
      </rPr>
      <t>(UES)(4项)</t>
    </r>
  </si>
  <si>
    <t>掷小皮球给对方。</t>
  </si>
  <si>
    <t>拿杯子喝水。(右手；左手)</t>
  </si>
  <si>
    <t>抓握笔涂鸦。</t>
  </si>
  <si>
    <t>抓握笔画直线。(右手；左手)</t>
  </si>
  <si>
    <r>
      <rPr>
        <b/>
        <u/>
        <sz val="11"/>
        <color theme="1"/>
        <rFont val="標楷體"/>
        <family val="4"/>
        <charset val="136"/>
      </rPr>
      <t>视动协调</t>
    </r>
    <r>
      <rPr>
        <b/>
        <sz val="11"/>
        <color theme="1"/>
        <rFont val="標楷體"/>
        <family val="4"/>
        <charset val="136"/>
      </rPr>
      <t>(UEM)(2项)</t>
    </r>
  </si>
  <si>
    <t>同时在中线使用双手。</t>
  </si>
  <si>
    <t>一手拿东西一手操作。</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</si>
  <si>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(11项)</t>
    </r>
  </si>
  <si>
    <t>反复放置同一根插棒。</t>
  </si>
  <si>
    <t>将三根小木棍插入有孔板中。</t>
  </si>
  <si>
    <t>将圆形、正方形积木放在相同形状的凹洞。</t>
  </si>
  <si>
    <t>会打开盒子。</t>
  </si>
  <si>
    <t>能伸手到容器内取物。</t>
  </si>
  <si>
    <t>能将2块积木迭高。</t>
  </si>
  <si>
    <t>能将3块积木迭高。</t>
  </si>
  <si>
    <t>能将4块积木迭高。</t>
  </si>
  <si>
    <t>将正方形几何积木嵌入洞内。</t>
  </si>
  <si>
    <t>可将物品放入横向的洞。</t>
  </si>
  <si>
    <t>可穿3个珠珠。</t>
  </si>
  <si>
    <r>
      <rPr>
        <b/>
        <sz val="12"/>
        <color theme="1"/>
        <rFont val="標楷體"/>
        <family val="4"/>
        <charset val="136"/>
      </rPr>
      <t>一般儿社会性(SI)互动功能发育:</t>
    </r>
    <r>
      <rPr>
        <b/>
        <sz val="12"/>
        <color theme="1"/>
        <rFont val="標楷體"/>
        <family val="4"/>
        <charset val="136"/>
      </rPr>
      <t>(18项)</t>
    </r>
  </si>
  <si>
    <r>
      <rPr>
        <b/>
        <u/>
        <sz val="11"/>
        <color theme="1"/>
        <rFont val="標楷體"/>
        <family val="4"/>
        <charset val="136"/>
      </rPr>
      <t>与人互动</t>
    </r>
    <r>
      <rPr>
        <b/>
        <sz val="11"/>
        <color theme="1"/>
        <rFont val="標楷體"/>
        <family val="4"/>
        <charset val="136"/>
      </rPr>
      <t>(SIP)(9项)</t>
    </r>
  </si>
  <si>
    <t>会主动拿物品给人。</t>
  </si>
  <si>
    <t>对同伴的动作或口语有反应(如：会停止活动或注意)。</t>
  </si>
  <si>
    <t>会接近大人。</t>
  </si>
  <si>
    <t>能给大人一个吻。</t>
  </si>
  <si>
    <t>加入小孩群体中时会很高兴。</t>
  </si>
  <si>
    <t>能辨别父母脸上认可或不认可的表情(如：父母皱眉头表示不行)。</t>
  </si>
  <si>
    <t>会寻找不见的父母(如：会一直问父母在哪里)。</t>
  </si>
  <si>
    <t>偶而在集体中玩，会等待不吵闹。</t>
  </si>
  <si>
    <t>会对睡觉抗拒，怕与大人分开。</t>
  </si>
  <si>
    <r>
      <rPr>
        <b/>
        <u/>
        <sz val="11"/>
        <color theme="1"/>
        <rFont val="標楷體"/>
        <family val="4"/>
        <charset val="136"/>
      </rPr>
      <t>与其他互动</t>
    </r>
    <r>
      <rPr>
        <b/>
        <sz val="11"/>
        <color theme="1"/>
        <rFont val="標楷體"/>
        <family val="4"/>
        <charset val="136"/>
      </rPr>
      <t>(SIE)(4项)</t>
    </r>
  </si>
  <si>
    <t>坚持要自己吃东西。</t>
  </si>
  <si>
    <t>会短暂离开大人视线。</t>
  </si>
  <si>
    <t>散步时能注意路上东西。</t>
  </si>
  <si>
    <t>睡觉要抱心爱玩具(或其他喜好物品)。</t>
  </si>
  <si>
    <r>
      <rPr>
        <b/>
        <u/>
        <sz val="11"/>
        <color theme="1"/>
        <rFont val="標楷體"/>
        <family val="4"/>
        <charset val="136"/>
      </rPr>
      <t>情绪与自我</t>
    </r>
    <r>
      <rPr>
        <b/>
        <sz val="11"/>
        <color theme="1"/>
        <rFont val="標楷體"/>
        <family val="4"/>
        <charset val="136"/>
      </rPr>
      <t>(SIS)(5项)</t>
    </r>
  </si>
  <si>
    <t>痛苦又可分化发展出嫉妒。</t>
  </si>
  <si>
    <t>能用单词(或发音)表达情绪。</t>
  </si>
  <si>
    <t>发展出害羞和挑战。</t>
  </si>
  <si>
    <t>知道他人的情绪可能和自己情绪有所不同。</t>
  </si>
  <si>
    <t>会对自己有正向性评价。</t>
  </si>
  <si>
    <r>
      <rPr>
        <b/>
        <u/>
        <sz val="11"/>
        <color theme="1"/>
        <rFont val="標楷體"/>
        <family val="4"/>
        <charset val="136"/>
      </rPr>
      <t>注意</t>
    </r>
    <r>
      <rPr>
        <b/>
        <sz val="11"/>
        <color theme="1"/>
        <rFont val="標楷體"/>
        <family val="4"/>
        <charset val="136"/>
      </rPr>
      <t>(MA)(4项)</t>
    </r>
  </si>
  <si>
    <t>有趣事物的注意力可达5-8分钟。</t>
  </si>
  <si>
    <t>能模仿翻书页。</t>
  </si>
  <si>
    <t>能模仿做游戏和擦桌子，可以和大人边做事边玩。</t>
  </si>
  <si>
    <t>能模仿拍手、踏脚、学鸟飞等动作。</t>
  </si>
  <si>
    <r>
      <rPr>
        <b/>
        <u/>
        <sz val="11"/>
        <color theme="1"/>
        <rFont val="標楷體"/>
        <family val="4"/>
        <charset val="136"/>
      </rPr>
      <t>记忆</t>
    </r>
    <r>
      <rPr>
        <b/>
        <sz val="11"/>
        <color theme="1"/>
        <rFont val="標楷體"/>
        <family val="4"/>
        <charset val="136"/>
      </rPr>
      <t>(MR)(2项)</t>
    </r>
  </si>
  <si>
    <t>能记住日常接触的动物、人、玩具的名称，包括亲人的名字。</t>
  </si>
  <si>
    <t>能记住动画片中的部分内容(记得最清楚的是人物的名字)。</t>
  </si>
  <si>
    <r>
      <rPr>
        <b/>
        <u/>
        <sz val="11"/>
        <color theme="1"/>
        <rFont val="標楷體"/>
        <family val="4"/>
        <charset val="136"/>
      </rPr>
      <t>概念</t>
    </r>
    <r>
      <rPr>
        <b/>
        <sz val="11"/>
        <color theme="1"/>
        <rFont val="標楷體"/>
        <family val="4"/>
        <charset val="136"/>
      </rPr>
      <t>(MC)(3项)</t>
    </r>
  </si>
  <si>
    <t>能听懂近50个常用词(如：车、船、房子、花、鸟、树等)。</t>
  </si>
  <si>
    <t>能分辨狗和猫的差异，卡车和公共汽车的差异。</t>
  </si>
  <si>
    <t>认识并正确指认经常接触的动物、玩具,以及自己的五官和四肢。</t>
  </si>
  <si>
    <r>
      <rPr>
        <b/>
        <u/>
        <sz val="11"/>
        <color theme="1"/>
        <rFont val="標楷體"/>
        <family val="4"/>
        <charset val="136"/>
      </rPr>
      <t>推理</t>
    </r>
    <r>
      <rPr>
        <b/>
        <sz val="11"/>
        <color theme="1"/>
        <rFont val="標楷體"/>
        <family val="4"/>
        <charset val="136"/>
      </rPr>
      <t>(MI)(2项)</t>
    </r>
  </si>
  <si>
    <t>能依物体性质进行活动尝试错误，并积累经验减少错误。</t>
  </si>
  <si>
    <t>能够根据物品的用途给物品配对。</t>
  </si>
  <si>
    <r>
      <rPr>
        <b/>
        <sz val="12"/>
        <color theme="1"/>
        <rFont val="標楷體"/>
        <family val="4"/>
        <charset val="136"/>
      </rPr>
      <t>一般儿口腔动作(OM)</t>
    </r>
    <r>
      <rPr>
        <b/>
        <sz val="12"/>
        <color theme="1"/>
        <rFont val="標楷體"/>
        <family val="4"/>
        <charset val="136"/>
      </rPr>
      <t>功能</t>
    </r>
    <r>
      <rPr>
        <b/>
        <sz val="12"/>
        <color theme="1"/>
        <rFont val="標楷體"/>
        <family val="4"/>
        <charset val="136"/>
      </rPr>
      <t>发育：</t>
    </r>
    <r>
      <rPr>
        <b/>
        <sz val="12"/>
        <color theme="1"/>
        <rFont val="標楷體"/>
        <family val="4"/>
        <charset val="136"/>
      </rPr>
      <t>(8项)</t>
    </r>
  </si>
  <si>
    <t>舌头可舔唇上的食物。</t>
  </si>
  <si>
    <t>可咀嚼煮得很烂的肉。</t>
  </si>
  <si>
    <t>可能会咬住杯子保持下颌稳定。</t>
  </si>
  <si>
    <t>吸奶、吞咽、呼吸配合很好。</t>
  </si>
  <si>
    <t>咀嚼时上下唇可以闭住不打开。</t>
  </si>
  <si>
    <t>下颌稳定度发展，随食物软硬控制咬的力量。</t>
  </si>
  <si>
    <t>可用汤匙或手吃的津津有味，成熟的咀嚼动作可软硬都吃。</t>
  </si>
  <si>
    <t>舌头、嘴唇可以独立动作。</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</si>
  <si>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(19项)</t>
    </r>
  </si>
  <si>
    <r>
      <rPr>
        <b/>
        <u/>
        <sz val="11"/>
        <color theme="1"/>
        <rFont val="標楷體"/>
        <family val="4"/>
        <charset val="136"/>
      </rPr>
      <t>理解(听)</t>
    </r>
    <r>
      <rPr>
        <b/>
        <sz val="11"/>
        <color theme="1"/>
        <rFont val="標楷體"/>
        <family val="4"/>
        <charset val="136"/>
      </rPr>
      <t>(MLUY)(10项)</t>
    </r>
  </si>
  <si>
    <t>了解50个单字(理解但不能主动说出)。</t>
  </si>
  <si>
    <t>知道大部份物品的名称。</t>
  </si>
  <si>
    <t>在要求下，会指出熟悉的东西。</t>
  </si>
  <si>
    <t>会遵从简单的指示。</t>
  </si>
  <si>
    <t>了解一般动作(如：亲亲/抱抱)。</t>
  </si>
  <si>
    <t>指认常见物。</t>
  </si>
  <si>
    <t>能指认4种动作图片。</t>
  </si>
  <si>
    <t>在图片中指出并说出熟悉的物体。</t>
  </si>
  <si>
    <t>认出照片中的自己。</t>
  </si>
  <si>
    <t>能指实物，辨识图形(圆/方)。</t>
  </si>
  <si>
    <r>
      <rPr>
        <b/>
        <u/>
        <sz val="11"/>
        <color theme="1"/>
        <rFont val="標楷體"/>
        <family val="4"/>
        <charset val="136"/>
      </rPr>
      <t>表达(说)</t>
    </r>
    <r>
      <rPr>
        <b/>
        <sz val="11"/>
        <color theme="1"/>
        <rFont val="標楷體"/>
        <family val="4"/>
        <charset val="136"/>
      </rPr>
      <t>(MLEY)(9项)</t>
    </r>
  </si>
  <si>
    <t>以手势+动作+单字来表达。</t>
  </si>
  <si>
    <t>开始说出有意义的单词,多用同一迭词在不同的情境表示几种不同的意思。</t>
  </si>
  <si>
    <t>单音重迭一词多义以词代句。</t>
  </si>
  <si>
    <t>名词多,动词少。</t>
  </si>
  <si>
    <t>会模仿听过的声音/话语。</t>
  </si>
  <si>
    <t>能说出自己的名字(不带姓)。</t>
  </si>
  <si>
    <t>会哼哼唱唱。</t>
  </si>
  <si>
    <t>主动说出50-100个(多个)左右的词。</t>
  </si>
  <si>
    <t>模仿日常动作以动作反应。</t>
  </si>
  <si>
    <t>1岁半至2岁: 2岁动作年龄发育阶段</t>
  </si>
  <si>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t>
    </r>
    <r>
      <rPr>
        <b/>
        <sz val="12"/>
        <color theme="1"/>
        <rFont val="標楷體"/>
        <family val="4"/>
        <charset val="136"/>
      </rPr>
      <t xml:space="preserve"> </t>
    </r>
    <r>
      <rPr>
        <b/>
        <sz val="11"/>
        <color theme="1"/>
        <rFont val="標楷體"/>
        <family val="4"/>
        <charset val="136"/>
      </rPr>
      <t>(1项)</t>
    </r>
  </si>
  <si>
    <t>1.5-2岁</t>
  </si>
  <si>
    <t>蹲站交替动作时不需他人协助。</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</si>
  <si>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 (4项)</t>
    </r>
  </si>
  <si>
    <t>灵活小跑步。</t>
  </si>
  <si>
    <t>原地双脚跳。</t>
  </si>
  <si>
    <t>沿直线跪走3步。</t>
  </si>
  <si>
    <t>半跪姿双手可掷出小球。</t>
  </si>
  <si>
    <t>(M2S3)双手自主扶持高位固定物品及站立姿摆位下，可任务诱导(镜像模仿)双下肢交替抬脚3下</t>
  </si>
  <si>
    <t>的活动发育。</t>
  </si>
  <si>
    <t>(M2S3)双手扶持高位移行物品及站立姿摆位下，可任务诱导(镜像模仿)双上肢自主推行物品向前</t>
  </si>
  <si>
    <t xml:space="preserve">        行走3步的活动发育。</t>
  </si>
  <si>
    <t>(M2S3)双手扶持低位移行物品及高跪姿摆位下，可任务诱导(镜像模仿)自主推行物品向前跪走3</t>
  </si>
  <si>
    <t xml:space="preserve">        步的活动发育。</t>
  </si>
  <si>
    <t>(M2S3)各单手自主扶持高位固定物品及站立姿摆位下，可任务诱导(镜像模仿)双下肢交替抬脚3下</t>
  </si>
  <si>
    <t>(M2S3)被动扶持衣领及站立姿摆位下，可任务诱导(镜像模仿)维持中线向前行走3步的活动发育。</t>
  </si>
  <si>
    <t>2.7(M2S3)各单手被动扶持站立姿摆位下，可任务诱导(镜像模仿)维持中线向前行走3步的活动发育。</t>
  </si>
  <si>
    <r>
      <rPr>
        <b/>
        <u/>
        <sz val="11"/>
        <color theme="1"/>
        <rFont val="標楷體"/>
        <family val="4"/>
        <charset val="136"/>
      </rPr>
      <t>操作技能</t>
    </r>
    <r>
      <rPr>
        <b/>
        <sz val="11"/>
        <color theme="1"/>
        <rFont val="標楷體"/>
        <family val="4"/>
        <charset val="136"/>
      </rPr>
      <t>(UES)(5项)</t>
    </r>
  </si>
  <si>
    <t>用双手转门把。</t>
  </si>
  <si>
    <t>脱下未扣扣子的外套。</t>
  </si>
  <si>
    <t>用一手转门把。(右手；左手)</t>
  </si>
  <si>
    <t>脱下裤子。</t>
  </si>
  <si>
    <t>可一页一页的翻薄书。(右手；左手)</t>
  </si>
  <si>
    <r>
      <rPr>
        <b/>
        <u/>
        <sz val="11"/>
        <color theme="1"/>
        <rFont val="標楷體"/>
        <family val="4"/>
        <charset val="136"/>
      </rPr>
      <t>视动协调</t>
    </r>
    <r>
      <rPr>
        <b/>
        <sz val="11"/>
        <color theme="1"/>
        <rFont val="標楷體"/>
        <family val="4"/>
        <charset val="136"/>
      </rPr>
      <t>(UEM)(1项)</t>
    </r>
  </si>
  <si>
    <t>惯用手已形成。(右手；左手)</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</si>
  <si>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(10项)</t>
    </r>
  </si>
  <si>
    <t>能将5块积木迭高。</t>
  </si>
  <si>
    <t>能将6块积木迭高。</t>
  </si>
  <si>
    <t>能将7块积木迭高。</t>
  </si>
  <si>
    <t>可上下左右涂圈圈。</t>
  </si>
  <si>
    <t>模仿画圆形线条。</t>
  </si>
  <si>
    <t>将三角形嵌入洞内。</t>
  </si>
  <si>
    <t>上玩具发条。</t>
  </si>
  <si>
    <t>拉下拉链。</t>
  </si>
  <si>
    <t>剥开糖果包装纸。</t>
  </si>
  <si>
    <t>照样本,画横线。</t>
  </si>
  <si>
    <r>
      <rPr>
        <b/>
        <sz val="12"/>
        <color theme="1"/>
        <rFont val="標楷體"/>
        <family val="4"/>
        <charset val="136"/>
      </rPr>
      <t>一般儿社会性(SI)互动功能发育:</t>
    </r>
    <r>
      <rPr>
        <b/>
        <sz val="12"/>
        <color theme="1"/>
        <rFont val="標楷體"/>
        <family val="4"/>
        <charset val="136"/>
      </rPr>
      <t>(38项)</t>
    </r>
  </si>
  <si>
    <r>
      <rPr>
        <b/>
        <u/>
        <sz val="11"/>
        <color theme="1"/>
        <rFont val="標楷體"/>
        <family val="4"/>
        <charset val="136"/>
      </rPr>
      <t>与人互动</t>
    </r>
    <r>
      <rPr>
        <b/>
        <sz val="11"/>
        <color theme="1"/>
        <rFont val="標楷體"/>
        <family val="4"/>
        <charset val="136"/>
      </rPr>
      <t>(SIP)(19项)</t>
    </r>
  </si>
  <si>
    <t>被欺负时会设法抵抗或还手。</t>
  </si>
  <si>
    <t>对其他孩子会表示同情或安慰。</t>
  </si>
  <si>
    <t>会有时黏着大人，有时推开大人不要大人管。</t>
  </si>
  <si>
    <t>会为其他人表演。</t>
  </si>
  <si>
    <t>和其他孩子牵手或自动到外面玩。</t>
  </si>
  <si>
    <t>会拒绝喂食的协助。</t>
  </si>
  <si>
    <t>与人对话时转换注视(会随着说话人转换注视的方向)。</t>
  </si>
  <si>
    <t>会笑自己或别人的好笑动作。</t>
  </si>
  <si>
    <t>发怪声或做奇怪的动作引别人笑。</t>
  </si>
  <si>
    <t>会自发与同伴分享物品或食物。</t>
  </si>
  <si>
    <t>会表达感谢。</t>
  </si>
  <si>
    <t>会主动和大人互动。</t>
  </si>
  <si>
    <t>会在要求下捡玩具。</t>
  </si>
  <si>
    <t>会愿意与人合作。</t>
  </si>
  <si>
    <t>会表达要或不要。</t>
  </si>
  <si>
    <t>模仿做家事。</t>
  </si>
  <si>
    <t>在探索环境时，会用口语或其他方式(如：拉大人)寻求大人协助。</t>
  </si>
  <si>
    <t>用口语来表达饥饿或口渴等生理需求。</t>
  </si>
  <si>
    <t>会用抓住大人手或其他方式，要求大人注意。</t>
  </si>
  <si>
    <r>
      <rPr>
        <b/>
        <u/>
        <sz val="11"/>
        <color theme="1"/>
        <rFont val="標楷體"/>
        <family val="4"/>
        <charset val="136"/>
      </rPr>
      <t>与其他互动</t>
    </r>
    <r>
      <rPr>
        <b/>
        <sz val="11"/>
        <color theme="1"/>
        <rFont val="標楷體"/>
        <family val="4"/>
        <charset val="136"/>
      </rPr>
      <t>(SIE)(11项)</t>
    </r>
  </si>
  <si>
    <t>当觉得安全时，会探索一个新的环境。</t>
  </si>
  <si>
    <t>会用一个字(或发音)表达情绪。</t>
  </si>
  <si>
    <t>会帮忙做一些简单家事。</t>
  </si>
  <si>
    <t>会选择要的玩具。</t>
  </si>
  <si>
    <t>有简单是非观念。</t>
  </si>
  <si>
    <t>能短暂等待不哭闹。</t>
  </si>
  <si>
    <t>知道在某些地方从事某活动。</t>
  </si>
  <si>
    <t>知道家庭每天固定的作息(生活常规的建立)。</t>
  </si>
  <si>
    <t>会用手势表达需要。</t>
  </si>
  <si>
    <t>能在两样物品中做出选择。</t>
  </si>
  <si>
    <t>能观察同伴(如：看别的小朋友玩)。</t>
  </si>
  <si>
    <r>
      <rPr>
        <b/>
        <u/>
        <sz val="11"/>
        <color theme="1"/>
        <rFont val="標楷體"/>
        <family val="4"/>
        <charset val="136"/>
      </rPr>
      <t>情绪与自我</t>
    </r>
    <r>
      <rPr>
        <b/>
        <sz val="11"/>
        <color theme="1"/>
        <rFont val="標楷體"/>
        <family val="4"/>
        <charset val="136"/>
      </rPr>
      <t>(SIS)(8项)</t>
    </r>
  </si>
  <si>
    <t>有被伤害的意识。</t>
  </si>
  <si>
    <t>出现最初的憎恨和爱。</t>
  </si>
  <si>
    <t>可通过一些外部特征认出自己(年龄、性别)。</t>
  </si>
  <si>
    <t>当被问到是谁(孩子的名字)时，会指向自己。</t>
  </si>
  <si>
    <t>意识到自己和他人不同。</t>
  </si>
  <si>
    <t>会摸镜中自己的形象。</t>
  </si>
  <si>
    <t>会正确描述自己身体部位。</t>
  </si>
  <si>
    <t>参与小朋友游戏和对环境探索意愿增高。</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</si>
  <si>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(16项)</t>
    </r>
  </si>
  <si>
    <r>
      <rPr>
        <b/>
        <u/>
        <sz val="11"/>
        <color theme="1"/>
        <rFont val="標楷體"/>
        <family val="4"/>
        <charset val="136"/>
      </rPr>
      <t>注意</t>
    </r>
    <r>
      <rPr>
        <b/>
        <sz val="12"/>
        <color theme="1"/>
        <rFont val="標楷體"/>
        <family val="4"/>
        <charset val="136"/>
      </rPr>
      <t>(MA)</t>
    </r>
    <r>
      <rPr>
        <b/>
        <sz val="11"/>
        <color theme="1"/>
        <rFont val="標楷體"/>
        <family val="4"/>
        <charset val="136"/>
      </rPr>
      <t>(5项)</t>
    </r>
  </si>
  <si>
    <t>能集中注意看电视15分钟左右,且已无意识注意为主。</t>
  </si>
  <si>
    <t>能发现并注意到身边的新物品，对周围事物兴趣进一步增强。</t>
  </si>
  <si>
    <t>能模仿划船等更复杂的动作。</t>
  </si>
  <si>
    <t>能模仿大人画出线条、圆圈、尽管画得不到位。</t>
  </si>
  <si>
    <t>能独立玩玩具(或其他喜好物品)15分钟。</t>
  </si>
  <si>
    <r>
      <rPr>
        <b/>
        <u/>
        <sz val="11"/>
        <color theme="1"/>
        <rFont val="標楷體"/>
        <family val="4"/>
        <charset val="136"/>
      </rPr>
      <t>记忆</t>
    </r>
    <r>
      <rPr>
        <b/>
        <sz val="12"/>
        <color theme="1"/>
        <rFont val="標楷體"/>
        <family val="4"/>
        <charset val="136"/>
      </rPr>
      <t>(MR)</t>
    </r>
    <r>
      <rPr>
        <b/>
        <sz val="11"/>
        <color theme="1"/>
        <rFont val="標楷體"/>
        <family val="4"/>
        <charset val="136"/>
      </rPr>
      <t>(5项)</t>
    </r>
  </si>
  <si>
    <t>能听讲熟悉的故事，唱熟悉的儿歌。</t>
  </si>
  <si>
    <t>能记住生活中东西放的地方。</t>
  </si>
  <si>
    <t>看到熟悉的图片(如：小鸭子、小兔子、苹果等能叫出名字)。</t>
  </si>
  <si>
    <t>能记住自己床的位置以及厕所的位置。</t>
  </si>
  <si>
    <t>能记住5个步骤的顺序。</t>
  </si>
  <si>
    <r>
      <rPr>
        <b/>
        <u/>
        <sz val="11"/>
        <color theme="1"/>
        <rFont val="標楷體"/>
        <family val="4"/>
        <charset val="136"/>
      </rPr>
      <t>概念</t>
    </r>
    <r>
      <rPr>
        <b/>
        <sz val="12"/>
        <color theme="1"/>
        <rFont val="標楷體"/>
        <family val="4"/>
        <charset val="136"/>
      </rPr>
      <t>(MC)</t>
    </r>
    <r>
      <rPr>
        <b/>
        <sz val="11"/>
        <color theme="1"/>
        <rFont val="標楷體"/>
        <family val="4"/>
        <charset val="136"/>
      </rPr>
      <t>(3项)</t>
    </r>
  </si>
  <si>
    <t>认识日常吃的食物、所用的餐具、玩具以及常用的交通工具。</t>
  </si>
  <si>
    <t>能用“你、我、他”这些人称代词。</t>
  </si>
  <si>
    <t>能用副词“现在”“一点儿”“特别”来更准确的表达自己的意思。</t>
  </si>
  <si>
    <t>能解决简单的因果关系问题。</t>
  </si>
  <si>
    <t>找到在看不见的时候移走的物体。</t>
  </si>
  <si>
    <t>能从环境线索来推论一件事(如:看到妈妈拿起包时，就知道妈妈要出去了)。</t>
  </si>
  <si>
    <r>
      <rPr>
        <b/>
        <sz val="12"/>
        <color theme="1"/>
        <rFont val="標楷體"/>
        <family val="4"/>
        <charset val="136"/>
      </rPr>
      <t>一般儿口腔动作(OM)</t>
    </r>
    <r>
      <rPr>
        <b/>
        <sz val="12"/>
        <color theme="1"/>
        <rFont val="標楷體"/>
        <family val="4"/>
        <charset val="136"/>
      </rPr>
      <t>功能</t>
    </r>
    <r>
      <rPr>
        <b/>
        <sz val="12"/>
        <color theme="1"/>
        <rFont val="標楷體"/>
        <family val="4"/>
        <charset val="136"/>
      </rPr>
      <t>发育：</t>
    </r>
    <r>
      <rPr>
        <b/>
        <sz val="12"/>
        <color theme="1"/>
        <rFont val="標楷體"/>
        <family val="4"/>
        <charset val="136"/>
      </rPr>
      <t>(3项)</t>
    </r>
  </si>
  <si>
    <t>会自己吃、喝、吸管喝水。</t>
  </si>
  <si>
    <t>舌头舔嘴唇。</t>
  </si>
  <si>
    <t>不流口水。</t>
  </si>
  <si>
    <t>能理解一般问话(如：那是什么？)。</t>
  </si>
  <si>
    <t>了解动词+名词的句子(如：丢球)。</t>
  </si>
  <si>
    <t>理解“我”并会用。</t>
  </si>
  <si>
    <t>知道玩伴的名字。</t>
  </si>
  <si>
    <t>能听懂最简单的故事。</t>
  </si>
  <si>
    <t>会按指示办事(连续的3件)。(简单的指令听从能力)</t>
  </si>
  <si>
    <t>在照片中可指认熟识的人。</t>
  </si>
  <si>
    <t>认得出电视上常见之物。</t>
  </si>
  <si>
    <r>
      <rPr>
        <b/>
        <u/>
        <sz val="11"/>
        <color theme="1"/>
        <rFont val="標楷體"/>
        <family val="4"/>
        <charset val="136"/>
      </rPr>
      <t>表达(说)</t>
    </r>
    <r>
      <rPr>
        <b/>
        <sz val="11"/>
        <color theme="1"/>
        <rFont val="標楷體"/>
        <family val="4"/>
        <charset val="136"/>
      </rPr>
      <t>(MLEY)(11项)</t>
    </r>
  </si>
  <si>
    <t>开始出现了由双词或三词组合在一起的语句(即：电报句)。</t>
  </si>
  <si>
    <t>会说谢谢，会用言语要求别人做什么。</t>
  </si>
  <si>
    <t>说出身体部位(2-3个)。</t>
  </si>
  <si>
    <t>会回答最简单的问题。</t>
  </si>
  <si>
    <t>会用在人、食物、玩具上的形容词、副词。</t>
  </si>
  <si>
    <t>会重复句子的最后两个字。</t>
  </si>
  <si>
    <t>会说3-5个字句子。</t>
  </si>
  <si>
    <t>会回答生活上的问题。</t>
  </si>
  <si>
    <t>听完故事后，能说出讲的是什么人、什么事。</t>
  </si>
  <si>
    <t>示范下模仿画直线。</t>
  </si>
  <si>
    <t>示范下模仿画横线。</t>
  </si>
  <si>
    <t>2岁至2岁半:2岁半动作年龄发育阶段</t>
  </si>
  <si>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 (1项)</t>
    </r>
  </si>
  <si>
    <t>2-2.5岁</t>
  </si>
  <si>
    <t>踢球。</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</si>
  <si>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功能发育:(2项)</t>
    </r>
  </si>
  <si>
    <t>灵活原地双脚跳。</t>
  </si>
  <si>
    <t>灵活沿直线跪走。</t>
  </si>
  <si>
    <t>(M2S3)被动扶持衣领及高跪姿摆位下，可任务诱导(镜像模仿)维持中线向前跪走3步的活动发育。</t>
  </si>
  <si>
    <t>2.8(M3S3)独立高跪姿摆位下，可任务诱导(镜像模仿)维持中线向前跪走3步的活动发育。</t>
  </si>
  <si>
    <t>2.9(M3S3)独立高跪姿摆位下，可任务诱导(镜像模仿)自主独立向后跪走3步的活动发育。</t>
  </si>
  <si>
    <t xml:space="preserve">   (M3S3)双手携物及高跪姿摆位下，可任务诱导(镜像模仿)自主独立向前跪走3步的活动发育。</t>
  </si>
  <si>
    <t xml:space="preserve">   (M3S3)双手携物及高跪姿摆位下，可任务诱导(镜像模仿)自主独立向后跪走3步的活动发育。</t>
  </si>
  <si>
    <t xml:space="preserve">   (M3S3)双手携物及跪坐姿摆位下，可任务诱导(镜像模仿)自主独立向前跪坐走3步的活动发育。</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</si>
  <si>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(9项)</t>
    </r>
  </si>
  <si>
    <t>使用剪刀，可剪断15公分的纸。</t>
  </si>
  <si>
    <t>能将8块积木迭高。</t>
  </si>
  <si>
    <t>能将9块积木迭高。</t>
  </si>
  <si>
    <t>会旋开瓶盖。</t>
  </si>
  <si>
    <t>脱下内裤。</t>
  </si>
  <si>
    <t>穿上没有鞋带的鞋子。</t>
  </si>
  <si>
    <t>用粗绳子穿木珠。</t>
  </si>
  <si>
    <t>穿袜子。</t>
  </si>
  <si>
    <t>可以接住一个大球。</t>
  </si>
  <si>
    <r>
      <rPr>
        <b/>
        <u/>
        <sz val="11"/>
        <color theme="1"/>
        <rFont val="標楷體"/>
        <family val="4"/>
        <charset val="136"/>
      </rPr>
      <t>与人互动</t>
    </r>
    <r>
      <rPr>
        <b/>
        <sz val="11"/>
        <color theme="1"/>
        <rFont val="標楷體"/>
        <family val="4"/>
        <charset val="136"/>
      </rPr>
      <t>(SIP)(6项)</t>
    </r>
  </si>
  <si>
    <t>能主动问候熟悉的人。</t>
  </si>
  <si>
    <t>主动找小朋友玩但不会合作。</t>
  </si>
  <si>
    <t>对幼小孩子会保护。</t>
  </si>
  <si>
    <t>无法继续玩玩具(或无法继续读绘本)或参与活动会哭。</t>
  </si>
  <si>
    <t>当被问到谁是(孩子的名字)时会指认镜子中的自己。</t>
  </si>
  <si>
    <t>会告状。</t>
  </si>
  <si>
    <r>
      <rPr>
        <b/>
        <u/>
        <sz val="11"/>
        <color theme="1"/>
        <rFont val="標楷體"/>
        <family val="4"/>
        <charset val="136"/>
      </rPr>
      <t>与其他互动</t>
    </r>
    <r>
      <rPr>
        <b/>
        <sz val="11"/>
        <color theme="1"/>
        <rFont val="標楷體"/>
        <family val="4"/>
        <charset val="136"/>
      </rPr>
      <t>(SIE)(5项)</t>
    </r>
  </si>
  <si>
    <t>能在两个不感兴趣的活动中做出选择。</t>
  </si>
  <si>
    <t>逐渐希望得到父母喜爱。</t>
  </si>
  <si>
    <t>能忍受饥饿或口渴等生理需求。</t>
  </si>
  <si>
    <t>知道自己的年龄。</t>
  </si>
  <si>
    <t>能注意性别的不同。</t>
  </si>
  <si>
    <t>快乐也可以分化发展出喜悦。</t>
  </si>
  <si>
    <t>对他人的情感做出反应。</t>
  </si>
  <si>
    <t>当被问到你叫什么名字时,会回答(认识自我)。</t>
  </si>
  <si>
    <t>能正确描述自己(了解自我)。</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</si>
  <si>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(12项)</t>
    </r>
  </si>
  <si>
    <r>
      <rPr>
        <b/>
        <u/>
        <sz val="11"/>
        <color theme="1"/>
        <rFont val="標楷體"/>
        <family val="4"/>
        <charset val="136"/>
      </rPr>
      <t>注意</t>
    </r>
    <r>
      <rPr>
        <b/>
        <sz val="11"/>
        <color theme="1"/>
        <rFont val="標楷體"/>
        <family val="4"/>
        <charset val="136"/>
      </rPr>
      <t>(MA)(2项)</t>
    </r>
  </si>
  <si>
    <t>能注意到内心思想与外部事件的差异(知道别人不见了是去别的地方，而不是消失)。</t>
  </si>
  <si>
    <t>能专注与游戏5-10分钟。</t>
  </si>
  <si>
    <r>
      <rPr>
        <b/>
        <u/>
        <sz val="11"/>
        <color theme="1"/>
        <rFont val="標楷體"/>
        <family val="4"/>
        <charset val="136"/>
      </rPr>
      <t>记忆</t>
    </r>
    <r>
      <rPr>
        <b/>
        <sz val="11"/>
        <color theme="1"/>
        <rFont val="標楷體"/>
        <family val="4"/>
        <charset val="136"/>
      </rPr>
      <t>(MR)(3项)</t>
    </r>
  </si>
  <si>
    <t>能记住家里(或手机)的电话号码。</t>
  </si>
  <si>
    <t>能唱一些儿歌，试着背一些简单的唐诗。</t>
  </si>
  <si>
    <t>出现背诵，能熟练地背1-2首唐诗。</t>
  </si>
  <si>
    <t>理解一些礼貌用语(如:谢谢、你好、再见)。</t>
  </si>
  <si>
    <t>知道“大”、“小”知道圆、方、三角形。</t>
  </si>
  <si>
    <t>知道大人和小孩的区别，也知道小盒子可以放在大盒子里。</t>
  </si>
  <si>
    <t>对多和少的概念非常明确了。</t>
  </si>
  <si>
    <t>知道“上、下”，比较多少、长短。</t>
  </si>
  <si>
    <t>有简单的是非观念，知道打人不好。</t>
  </si>
  <si>
    <t>能在游戏中实验因果关系(如：玩踩气球时，球会破)。</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</si>
  <si>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(10项)</t>
    </r>
  </si>
  <si>
    <r>
      <rPr>
        <b/>
        <u/>
        <sz val="11"/>
        <color theme="1"/>
        <rFont val="標楷體"/>
        <family val="4"/>
        <charset val="136"/>
      </rPr>
      <t>理解(听)</t>
    </r>
    <r>
      <rPr>
        <b/>
        <sz val="11"/>
        <color theme="1"/>
        <rFont val="標楷體"/>
        <family val="4"/>
        <charset val="136"/>
      </rPr>
      <t>(MLUY)(5项)</t>
    </r>
  </si>
  <si>
    <t>了解〝上〞下〞〝里面〞旁边〞等位置观念。</t>
  </si>
  <si>
    <t>知道在什么场合通常做什么事。</t>
  </si>
  <si>
    <t>理解常用词汇300个(多个)左右。</t>
  </si>
  <si>
    <t>知道〝明天〞指的不是〝现在〞。</t>
  </si>
  <si>
    <t>会回答〝谁在做什么〞的问句。</t>
  </si>
  <si>
    <r>
      <rPr>
        <b/>
        <u/>
        <sz val="11"/>
        <color theme="1"/>
        <rFont val="標楷體"/>
        <family val="4"/>
        <charset val="136"/>
      </rPr>
      <t>表达(说)</t>
    </r>
    <r>
      <rPr>
        <b/>
        <sz val="11"/>
        <color theme="1"/>
        <rFont val="標楷體"/>
        <family val="4"/>
        <charset val="136"/>
      </rPr>
      <t>(MLEY)(5项)</t>
    </r>
  </si>
  <si>
    <t>发展出完整句(简单句→复杂句→复合句)。</t>
  </si>
  <si>
    <t>会问“这是什么？”。</t>
  </si>
  <si>
    <t>会问“谁”、“哪里”、“做什么”等句子。</t>
  </si>
  <si>
    <t>会用且说“这个”“那个”等句子。</t>
  </si>
  <si>
    <t>能在指定范围内涂鸦。</t>
  </si>
  <si>
    <t>2岁半至3岁:3岁动作年龄发育阶段</t>
  </si>
  <si>
    <r>
      <rPr>
        <b/>
        <u/>
        <sz val="11"/>
        <color theme="1"/>
        <rFont val="標楷體"/>
        <family val="4"/>
        <charset val="136"/>
      </rPr>
      <t>本体运动</t>
    </r>
    <r>
      <rPr>
        <b/>
        <u/>
        <sz val="11"/>
        <color theme="1"/>
        <rFont val="標楷體"/>
        <family val="4"/>
        <charset val="136"/>
      </rPr>
      <t>知</t>
    </r>
    <r>
      <rPr>
        <b/>
        <u/>
        <sz val="11"/>
        <color theme="1"/>
        <rFont val="標楷體"/>
        <family val="4"/>
        <charset val="136"/>
      </rPr>
      <t>觉</t>
    </r>
    <r>
      <rPr>
        <b/>
        <sz val="11"/>
        <color theme="1"/>
        <rFont val="標楷體"/>
        <family val="4"/>
        <charset val="136"/>
      </rPr>
      <t>(ISP)功能发育:(2项)</t>
    </r>
  </si>
  <si>
    <t>2.5-3岁</t>
  </si>
  <si>
    <t>会适当用力。</t>
  </si>
  <si>
    <t>会漱口。</t>
  </si>
  <si>
    <r>
      <rPr>
        <b/>
        <u/>
        <sz val="11"/>
        <color theme="1"/>
        <rFont val="標楷體"/>
        <family val="4"/>
        <charset val="136"/>
      </rPr>
      <t>前庭平衡知觉</t>
    </r>
    <r>
      <rPr>
        <b/>
        <sz val="11"/>
        <color theme="1"/>
        <rFont val="標楷體"/>
        <family val="4"/>
        <charset val="136"/>
      </rPr>
      <t>(ISV)</t>
    </r>
    <r>
      <rPr>
        <b/>
        <sz val="11"/>
        <color theme="1"/>
        <rFont val="標楷體"/>
        <family val="4"/>
        <charset val="136"/>
      </rPr>
      <t>功能发育:(1项)</t>
    </r>
  </si>
  <si>
    <t xml:space="preserve">   小凳子上跳下。</t>
  </si>
  <si>
    <t>(M3S4)双手扶持梯背架及站立姿摆位下，可自主模仿双下肢交替踩踏高位横杆(超越髋关节高度)</t>
  </si>
  <si>
    <t>3下的活动发育。</t>
  </si>
  <si>
    <t>(M4S4)双手扶持梯背架及高跪姿摆位下，可自主模仿双下肢交替半跪3下的活动发育。</t>
  </si>
  <si>
    <t>2.10(M4S4)各单手扶持梯背架及高跪姿摆位下，可自主模仿双下肢交替半跪3下的活动发育。</t>
  </si>
  <si>
    <t>(M4S4)双手扶持大龙球及高跪姿摆位下，可自主模仿双下肢交替半跪3下的活动发育。</t>
  </si>
  <si>
    <t>2.11(M4S5)任务指令要求及高跪姿摆位下，可自主完成各单脚维持中線半跪姿2秒的姿势发育。</t>
  </si>
  <si>
    <t>2.12(M5S5)任务指令要求及高跪姿摆位下，可自主完成独立维持中線交替半跪3下的活动发育。</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</si>
  <si>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(7项)</t>
    </r>
  </si>
  <si>
    <t>解开外套的大扣子。</t>
  </si>
  <si>
    <t>扣上外套的大扣子。</t>
  </si>
  <si>
    <t>穿内裤。</t>
  </si>
  <si>
    <t>用粗线穿洞洞板。</t>
  </si>
  <si>
    <t>用毛巾檫脸。</t>
  </si>
  <si>
    <t>模仿画圆形。</t>
  </si>
  <si>
    <t>在线上描绘。</t>
  </si>
  <si>
    <r>
      <rPr>
        <b/>
        <sz val="12"/>
        <color theme="1"/>
        <rFont val="標楷體"/>
        <family val="4"/>
        <charset val="136"/>
      </rPr>
      <t>一般儿社会性(SI)互动功能发育:</t>
    </r>
    <r>
      <rPr>
        <b/>
        <sz val="12"/>
        <color theme="1"/>
        <rFont val="標楷體"/>
        <family val="4"/>
        <charset val="136"/>
      </rPr>
      <t>(22项)</t>
    </r>
  </si>
  <si>
    <t>能根据性别年龄来称呼人，关注别人对自己的态度。</t>
  </si>
  <si>
    <t>能协助大人清扫或擦桌子。</t>
  </si>
  <si>
    <t>能和熟悉的大人互动，并维持互动。</t>
  </si>
  <si>
    <t>能正确回答是男孩还是女孩。</t>
  </si>
  <si>
    <t>会响应同伴的社会行为(如问好)。</t>
  </si>
  <si>
    <t>遵守简单有关礼貌方面的规则(建立简单学习常规与社交能力)。</t>
  </si>
  <si>
    <t>会找借口以逃避责罚。</t>
  </si>
  <si>
    <t>有分离焦虑。</t>
  </si>
  <si>
    <r>
      <rPr>
        <b/>
        <u/>
        <sz val="11"/>
        <color theme="1"/>
        <rFont val="標楷體"/>
        <family val="4"/>
        <charset val="136"/>
      </rPr>
      <t>与其他互动</t>
    </r>
    <r>
      <rPr>
        <b/>
        <sz val="11"/>
        <color theme="1"/>
        <rFont val="標楷體"/>
        <family val="4"/>
        <charset val="136"/>
      </rPr>
      <t>(SIE)(7项)</t>
    </r>
  </si>
  <si>
    <t>自己能去邻居小朋友家玩。</t>
  </si>
  <si>
    <t>能耐心等大人为他做事，不觉得不耐烦。</t>
  </si>
  <si>
    <t>遵守简单和吃有关的规则。</t>
  </si>
  <si>
    <t>知道自己性别。</t>
  </si>
  <si>
    <t>对固定的作息有所回应(如：吃饭时会主动坐到桌边)。</t>
  </si>
  <si>
    <t>能和宠物正向互动(如：摸它)。</t>
  </si>
  <si>
    <t>能说某些情境应遵守的规则(了解学习常规)。</t>
  </si>
  <si>
    <r>
      <rPr>
        <b/>
        <u/>
        <sz val="11"/>
        <color theme="1"/>
        <rFont val="標楷體"/>
        <family val="4"/>
        <charset val="136"/>
      </rPr>
      <t>情绪与自我</t>
    </r>
    <r>
      <rPr>
        <b/>
        <sz val="11"/>
        <color theme="1"/>
        <rFont val="標楷體"/>
        <family val="4"/>
        <charset val="136"/>
      </rPr>
      <t>(SIS)(7项)</t>
    </r>
  </si>
  <si>
    <t>当其他孩子受伤或受挫时表现出难过(发展同理心)。</t>
  </si>
  <si>
    <t>对参与活动感到愉快(有自主学习意愿)。</t>
  </si>
  <si>
    <t>会用语言(或发音)来表达情绪(有自主表达意愿)。</t>
  </si>
  <si>
    <t>对自己的成就感到骄傲(有学习自信)。</t>
  </si>
  <si>
    <t>有自我感受。</t>
  </si>
  <si>
    <t>能说出及指出照片中的自己。</t>
  </si>
  <si>
    <t>说出身体部位的名称。</t>
  </si>
  <si>
    <r>
      <rPr>
        <b/>
        <u/>
        <sz val="11"/>
        <color theme="1"/>
        <rFont val="標楷體"/>
        <family val="4"/>
        <charset val="136"/>
      </rPr>
      <t>注意</t>
    </r>
    <r>
      <rPr>
        <b/>
        <sz val="11"/>
        <color theme="1"/>
        <rFont val="標楷體"/>
        <family val="4"/>
        <charset val="136"/>
      </rPr>
      <t>(MA)(3项)</t>
    </r>
  </si>
  <si>
    <t>能记得几周前发生的事。</t>
  </si>
  <si>
    <t>能记得并重复听到的三个字的句子(如：你好吗?)。</t>
  </si>
  <si>
    <t>能注意周围环境中的变化并和认识过程结合起来(有意义的注意开始出现)。</t>
  </si>
  <si>
    <r>
      <rPr>
        <b/>
        <u/>
        <sz val="11"/>
        <color theme="1"/>
        <rFont val="標楷體"/>
        <family val="4"/>
        <charset val="136"/>
      </rPr>
      <t>记忆</t>
    </r>
    <r>
      <rPr>
        <b/>
        <sz val="11"/>
        <color theme="1"/>
        <rFont val="標楷體"/>
        <family val="4"/>
        <charset val="136"/>
      </rPr>
      <t>(MR)(1项)</t>
    </r>
  </si>
  <si>
    <t>可以流利的说出家人的姓名和职业。</t>
  </si>
  <si>
    <t>能够认识5种以上的颜色。</t>
  </si>
  <si>
    <t>开始理解复数名词(如:我们、你们、他们)。</t>
  </si>
  <si>
    <t>有了多项选择能力，比如：妈妈说“把红色的皮球给我”(在之前他只知道拿红色的球却不一定是皮的)。</t>
  </si>
  <si>
    <t>能按物品用途分类，如：吃的、穿的、玩的。</t>
  </si>
  <si>
    <t>懂得“里、外”。</t>
  </si>
  <si>
    <r>
      <rPr>
        <b/>
        <u/>
        <sz val="11"/>
        <color theme="1"/>
        <rFont val="標楷體"/>
        <family val="4"/>
        <charset val="136"/>
      </rPr>
      <t>推理</t>
    </r>
    <r>
      <rPr>
        <b/>
        <sz val="11"/>
        <color theme="1"/>
        <rFont val="標楷體"/>
        <family val="4"/>
        <charset val="136"/>
      </rPr>
      <t>(MI)(7项)</t>
    </r>
  </si>
  <si>
    <t>开始有了自我感受，但这种感受非常直接(如：妈妈骂了他，就会认为妈妈不喜欢他)。</t>
  </si>
  <si>
    <t>热衷于搞清楚周围的人际关系。</t>
  </si>
  <si>
    <t>能够根据性别和年龄来称呼别人(如：叔叔、阿姨等)。</t>
  </si>
  <si>
    <t>开始关注周围人对自己的态度。</t>
  </si>
  <si>
    <t>能用一物代替另一物当玩具(如：将筷子当成箭在射击)。</t>
  </si>
  <si>
    <t>能依眼睛看到的资料为基础，猜出物品的名称(如：告诉孩子动物的特征，让其猜出是什么动物)。</t>
  </si>
  <si>
    <t>能用相同的物品达到不同的功能。</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</si>
  <si>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(16项)</t>
    </r>
  </si>
  <si>
    <r>
      <rPr>
        <b/>
        <u/>
        <sz val="11"/>
        <color theme="1"/>
        <rFont val="標楷體"/>
        <family val="4"/>
        <charset val="136"/>
      </rPr>
      <t>理解(听)</t>
    </r>
    <r>
      <rPr>
        <b/>
        <sz val="11"/>
        <color theme="1"/>
        <rFont val="標楷體"/>
        <family val="4"/>
        <charset val="136"/>
      </rPr>
      <t>(MLUY)(3项)</t>
    </r>
  </si>
  <si>
    <t>能听懂有关位置、所有权及数量的问话。</t>
  </si>
  <si>
    <t>理解故事主要情节。</t>
  </si>
  <si>
    <t>能说出100张(或多张)左右图片名称。</t>
  </si>
  <si>
    <r>
      <rPr>
        <b/>
        <u/>
        <sz val="11"/>
        <color theme="1"/>
        <rFont val="標楷體"/>
        <family val="4"/>
        <charset val="136"/>
      </rPr>
      <t>表达(说)</t>
    </r>
    <r>
      <rPr>
        <b/>
        <sz val="11"/>
        <color theme="1"/>
        <rFont val="標楷體"/>
        <family val="4"/>
        <charset val="136"/>
      </rPr>
      <t>(MLEY)(13项)</t>
    </r>
  </si>
  <si>
    <t>会正确使用“我们”、“您们”、“他们”。</t>
  </si>
  <si>
    <t>会用“还”、“也”、“以后”、“只好”等词句。</t>
  </si>
  <si>
    <t>会接熟悉的语句或故事。</t>
  </si>
  <si>
    <t>会说1000个(或多个)左右的词。</t>
  </si>
  <si>
    <t>能说出15种(或多种)颜色名称。</t>
  </si>
  <si>
    <t>所有孕母在3岁前已发展出来。</t>
  </si>
  <si>
    <t>声母b、p、m、d、t、n、g、k、h已发展出来。</t>
  </si>
  <si>
    <t>会说6-8个(或多个)字的句子。</t>
  </si>
  <si>
    <t>会用几个“形容词”。</t>
  </si>
  <si>
    <t>会说出物品的用途。</t>
  </si>
  <si>
    <t>示范下模仿画圆形。</t>
  </si>
  <si>
    <t>示范下模仿画十字。</t>
  </si>
  <si>
    <t>出示图片表示需求。</t>
  </si>
  <si>
    <t>3岁至4岁:4岁动作年龄发育阶段</t>
  </si>
  <si>
    <t>3-4岁</t>
  </si>
  <si>
    <t>(M5S5)站立姿摆位下，可自主独立完成双下肢交替踩踏高位横杆(超越20公分高度)(1~10下)</t>
  </si>
  <si>
    <t>及配合高举对侧手的活动发育。</t>
  </si>
  <si>
    <t>2.13(M5S5)半跪姿摆位下，可自主独立完成各单脚动态半跪姿站立起1下的活动与姿势发育。</t>
  </si>
  <si>
    <t>2.14(M6S6)高跪姿摆位下，可自主独立完成正确交替半跪及对侧上肢抬手与数数(1~10下)的多样性活动与姿势发育。</t>
  </si>
  <si>
    <t>(M5S5)双手协同携物及半跪姿摆位下，可自主独立完成向后半跪走3步的活动发育。</t>
  </si>
  <si>
    <t>2.15(M5S5)任务指令要求下，可自主双手扶地维持中线蹲姿2秒的姿势发育。</t>
  </si>
  <si>
    <t>2.16(M5S5)任务指令要求下，可自主独立维持中线蹲姿2秒的姿势发育。</t>
  </si>
  <si>
    <t>2.17(M5S5)任务指令要求下，可自主独立完成独立连续动态全蹲站2下的活动发育。</t>
  </si>
  <si>
    <t>2.18(M5S5)任务指令要求下，可自主独立完成扶地向前蹲走3步的活动发育。</t>
  </si>
  <si>
    <t>2.19(M5S5)任务指令要求下，可自主独立完成独立向前蹲走3步的活动发育。</t>
  </si>
  <si>
    <t>2.20(M5S5)任务指令要求下，可自主独立完成独立向后蹲走3步的活动发育。</t>
  </si>
  <si>
    <r>
      <rPr>
        <b/>
        <sz val="12"/>
        <color theme="1"/>
        <rFont val="標楷體"/>
        <family val="4"/>
        <charset val="136"/>
      </rPr>
      <t>一般儿精细动作(FM)</t>
    </r>
    <r>
      <rPr>
        <b/>
        <sz val="12"/>
        <color theme="1"/>
        <rFont val="標楷體"/>
        <family val="4"/>
        <charset val="136"/>
      </rPr>
      <t>功能</t>
    </r>
    <r>
      <rPr>
        <b/>
        <sz val="12"/>
        <color theme="1"/>
        <rFont val="標楷體"/>
        <family val="4"/>
        <charset val="136"/>
      </rPr>
      <t>发育：</t>
    </r>
    <r>
      <rPr>
        <b/>
        <sz val="12"/>
        <color theme="1"/>
        <rFont val="標楷體"/>
        <family val="4"/>
        <charset val="136"/>
      </rPr>
      <t>(13项)</t>
    </r>
  </si>
  <si>
    <t>穿长裤。</t>
  </si>
  <si>
    <t>脱衣套头衫。</t>
  </si>
  <si>
    <t>模仿画＋字。</t>
  </si>
  <si>
    <t>沿直线剪纸。</t>
  </si>
  <si>
    <t>拿筷子扒饭。</t>
  </si>
  <si>
    <t>脱下衬衫。</t>
  </si>
  <si>
    <t>扣暗扣。</t>
  </si>
  <si>
    <t>模仿画×。</t>
  </si>
  <si>
    <t>穿上衬衫。</t>
  </si>
  <si>
    <t>刷牙。</t>
  </si>
  <si>
    <t>模仿画正方形。</t>
  </si>
  <si>
    <t>剪圆形。</t>
  </si>
  <si>
    <t>连点成线(48个月)。</t>
  </si>
  <si>
    <r>
      <rPr>
        <b/>
        <sz val="12"/>
        <color theme="1"/>
        <rFont val="標楷體"/>
        <family val="4"/>
        <charset val="136"/>
      </rPr>
      <t>一般儿社会性(SI)互动功能发育:</t>
    </r>
    <r>
      <rPr>
        <b/>
        <sz val="12"/>
        <color theme="1"/>
        <rFont val="標楷體"/>
        <family val="4"/>
        <charset val="136"/>
      </rPr>
      <t>(29项)</t>
    </r>
  </si>
  <si>
    <r>
      <rPr>
        <b/>
        <u/>
        <sz val="11"/>
        <color theme="1"/>
        <rFont val="標楷體"/>
        <family val="4"/>
        <charset val="136"/>
      </rPr>
      <t>与人互动</t>
    </r>
    <r>
      <rPr>
        <b/>
        <sz val="11"/>
        <color theme="1"/>
        <rFont val="標楷體"/>
        <family val="4"/>
        <charset val="136"/>
      </rPr>
      <t>(SIP)(12项)</t>
    </r>
  </si>
  <si>
    <t>与其他小孩在游戏中比赛(玩参与性游戏)。</t>
  </si>
  <si>
    <t>希望别人注意自己的表演。</t>
  </si>
  <si>
    <t>会知道如何给小朋友一些暗示。</t>
  </si>
  <si>
    <t>能试着安慰他人。</t>
  </si>
  <si>
    <t>能和同伴玩简单游戏。</t>
  </si>
  <si>
    <t>会道歉(如：做错事时会说“对不起”)。</t>
  </si>
  <si>
    <t>有一位要好的同伴(能区分好朋友和普通朋友)。</t>
  </si>
  <si>
    <t>遵守大人要求玩玩具或游戏规则。</t>
  </si>
  <si>
    <t>在遭遇困难的情景，能主动要求协助。</t>
  </si>
  <si>
    <t>会袒护、安慰朋友。</t>
  </si>
  <si>
    <t>当要求某些物品时，会以比较适当的行为代替哭、闹的方式。</t>
  </si>
  <si>
    <t>在拿物品或玩玩具时，会寻求许可及赞同。</t>
  </si>
  <si>
    <r>
      <rPr>
        <b/>
        <u/>
        <sz val="11"/>
        <color theme="1"/>
        <rFont val="標楷體"/>
        <family val="4"/>
        <charset val="136"/>
      </rPr>
      <t>与其他互动</t>
    </r>
    <r>
      <rPr>
        <b/>
        <sz val="11"/>
        <color theme="1"/>
        <rFont val="標楷體"/>
        <family val="4"/>
        <charset val="136"/>
      </rPr>
      <t>(SIE)(8项)</t>
    </r>
  </si>
  <si>
    <t>自己过斑马线或过街。</t>
  </si>
  <si>
    <t>在熟悉的环境(如：幼儿园)中能和父母分离。</t>
  </si>
  <si>
    <t>能在食物、衣服及活动中做出选择。</t>
  </si>
  <si>
    <t>在学习时，能主动参与不强迫。</t>
  </si>
  <si>
    <t>对不熟悉的人或新的环境不觉得害怕。</t>
  </si>
  <si>
    <t>能说出自己常做的活动。</t>
  </si>
  <si>
    <t>有性别角色认识。</t>
  </si>
  <si>
    <t>能扮演自己喜欢做的事。</t>
  </si>
  <si>
    <r>
      <rPr>
        <b/>
        <u/>
        <sz val="11"/>
        <color theme="1"/>
        <rFont val="標楷體"/>
        <family val="4"/>
        <charset val="136"/>
      </rPr>
      <t>情绪与自我</t>
    </r>
    <r>
      <rPr>
        <b/>
        <sz val="11"/>
        <color theme="1"/>
        <rFont val="標楷體"/>
        <family val="4"/>
        <charset val="136"/>
      </rPr>
      <t>(SIS)(9项)</t>
    </r>
  </si>
  <si>
    <t>发展出爱、骄傲、内疚情绪。</t>
  </si>
  <si>
    <t>产生出同情的感情。</t>
  </si>
  <si>
    <t>能说出自己的全名。</t>
  </si>
  <si>
    <t>自尊心特强。</t>
  </si>
  <si>
    <t>记忆的自我，以自述方式出现。</t>
  </si>
  <si>
    <t>自我概念强调特征、经历情感。</t>
  </si>
  <si>
    <t>能了解自己的感觉。</t>
  </si>
  <si>
    <t>能分辨自己和他人的物品。</t>
  </si>
  <si>
    <t>能说出6种以上身体部位的名称。</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</si>
  <si>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(18项)</t>
    </r>
  </si>
  <si>
    <r>
      <rPr>
        <b/>
        <u/>
        <sz val="11"/>
        <color theme="1"/>
        <rFont val="標楷體"/>
        <family val="4"/>
        <charset val="136"/>
      </rPr>
      <t>注意</t>
    </r>
    <r>
      <rPr>
        <b/>
        <sz val="12"/>
        <color theme="1"/>
        <rFont val="標楷體"/>
        <family val="4"/>
        <charset val="136"/>
      </rPr>
      <t>(MAN)</t>
    </r>
    <r>
      <rPr>
        <b/>
        <sz val="11"/>
        <color theme="1"/>
        <rFont val="標楷體"/>
        <family val="4"/>
        <charset val="136"/>
      </rPr>
      <t>(5项)</t>
    </r>
  </si>
  <si>
    <t>注意力变得更加持久和有计划性。</t>
  </si>
  <si>
    <t>能在课堂活动中适当转换注意力(如：由听转至看)。</t>
  </si>
  <si>
    <t>能注意故事中的变化。</t>
  </si>
  <si>
    <t>能专注于小组活动20-25分钟。</t>
  </si>
  <si>
    <t>注意力集中，能在注意转移之前专心玩游戏或者连续看20分钟电视。</t>
  </si>
  <si>
    <r>
      <rPr>
        <b/>
        <u/>
        <sz val="11"/>
        <color theme="1"/>
        <rFont val="標楷體"/>
        <family val="4"/>
        <charset val="136"/>
      </rPr>
      <t>记忆</t>
    </r>
    <r>
      <rPr>
        <b/>
        <sz val="12"/>
        <color theme="1"/>
        <rFont val="標楷體"/>
        <family val="4"/>
        <charset val="136"/>
      </rPr>
      <t>(MRN)</t>
    </r>
    <r>
      <rPr>
        <b/>
        <sz val="11"/>
        <color theme="1"/>
        <rFont val="標楷體"/>
        <family val="4"/>
        <charset val="136"/>
      </rPr>
      <t>(4项)</t>
    </r>
  </si>
  <si>
    <t>能回忆仅看过一次的10-15个物体中的4个。</t>
  </si>
  <si>
    <t>能记得并重复包含形容词的四个字的句子(如：你好漂亮)。</t>
  </si>
  <si>
    <t>能在提示下，记起刚才看过故事中的一到二个重点。</t>
  </si>
  <si>
    <t>短期记忆改进：可通过反复诵读，记住短诗和电话号码。</t>
  </si>
  <si>
    <r>
      <rPr>
        <b/>
        <u/>
        <sz val="11"/>
        <color theme="1"/>
        <rFont val="標楷體"/>
        <family val="4"/>
        <charset val="136"/>
      </rPr>
      <t>概念</t>
    </r>
    <r>
      <rPr>
        <b/>
        <sz val="12"/>
        <color theme="1"/>
        <rFont val="標楷體"/>
        <family val="4"/>
        <charset val="136"/>
      </rPr>
      <t>(MCN)</t>
    </r>
    <r>
      <rPr>
        <b/>
        <sz val="11"/>
        <color theme="1"/>
        <rFont val="標楷體"/>
        <family val="4"/>
        <charset val="136"/>
      </rPr>
      <t>(4项)</t>
    </r>
  </si>
  <si>
    <t>开始理解介词的意思，知道切一半会变成两块。</t>
  </si>
  <si>
    <t>能唱数1-10。</t>
  </si>
  <si>
    <t>数量概念形成的最佳时期(这时宝宝已经掌握了10以内数的概念)。</t>
  </si>
  <si>
    <t>能理解简单的时间概念(如：白天、晚上、四季)。</t>
  </si>
  <si>
    <r>
      <rPr>
        <b/>
        <u/>
        <sz val="11"/>
        <color theme="1"/>
        <rFont val="標楷體"/>
        <family val="4"/>
        <charset val="136"/>
      </rPr>
      <t>推理</t>
    </r>
    <r>
      <rPr>
        <b/>
        <sz val="12"/>
        <color theme="1"/>
        <rFont val="標楷體"/>
        <family val="4"/>
        <charset val="136"/>
      </rPr>
      <t>(MIN)</t>
    </r>
    <r>
      <rPr>
        <b/>
        <sz val="11"/>
        <color theme="1"/>
        <rFont val="標楷體"/>
        <family val="4"/>
        <charset val="136"/>
      </rPr>
      <t>(5项)</t>
    </r>
  </si>
  <si>
    <t>能注意到并转换逆向思维，理解很多因果关系。</t>
  </si>
  <si>
    <t>能区分表像和现实。</t>
  </si>
  <si>
    <t>因果推理能力发展的快速期。</t>
  </si>
  <si>
    <t>知道加东西会使一堆物品变多。</t>
  </si>
  <si>
    <t>知道拿走东西会使一堆物品变少。</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</si>
  <si>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(17项)</t>
    </r>
  </si>
  <si>
    <t>了解〝大小〞〝上下〞〝前后〞〝里外〞。</t>
  </si>
  <si>
    <t>能回答〝这是谁的〞〝为什么〞等问题。</t>
  </si>
  <si>
    <t>能回答“有多少”“多久”的问题。</t>
  </si>
  <si>
    <t>了解“昨天”“今天”的意义。</t>
  </si>
  <si>
    <t>能看图说话。</t>
  </si>
  <si>
    <t>能指认黑白相片中的物品。</t>
  </si>
  <si>
    <t>会用否定命令句，如：不要做…。</t>
  </si>
  <si>
    <t>会用“这是…”来表达。</t>
  </si>
  <si>
    <t>会用“什么时候…”的句子。</t>
  </si>
  <si>
    <t>可解释简单图画。</t>
  </si>
  <si>
    <t>会说1600个(多个)左右的词。</t>
  </si>
  <si>
    <t>会说5-8个(多个)反义词。</t>
  </si>
  <si>
    <t>说出自己的性别。</t>
  </si>
  <si>
    <t>说出一周包括哪七天。</t>
  </si>
  <si>
    <t>声母f、j、zh、ch、sh、z、c。</t>
  </si>
  <si>
    <t>示范下模仿画x形。</t>
  </si>
  <si>
    <t>照着图仿画方形。</t>
  </si>
  <si>
    <t>4岁至5岁:5岁动作年龄发育阶段</t>
  </si>
  <si>
    <t>4-5岁</t>
  </si>
  <si>
    <t>(M5S5)双手扶持梯背架及单脚站立姿摆位下，可自主独立完成单下肢动态半蹲站2下的活动控制。</t>
  </si>
  <si>
    <t>(M5S5)站立姿摆位下，可自主独立完成双下肢交替踩踏高位横杆(超越髋关节高度)(1~10下)的</t>
  </si>
  <si>
    <t>2.21(M6S6)单脚踩踏高位横杆站立姿摆位下，可自主独立完成正确双上肢协同抛、接球(1~10下)的</t>
  </si>
  <si>
    <t>活动与姿势发育。</t>
  </si>
  <si>
    <t>(M5S5)双手协同携物及跪坐姿摆位下，可自主独立完成向前跪坐跳2下的活动发育。</t>
  </si>
  <si>
    <t>2.22(M5S5)双手协同携物及蹲姿摆位下，可自主独立完成向前蹲跳3下的活动发育。</t>
  </si>
  <si>
    <t>2.23(M5S5)双手协同携物及蹲姿摆位下，可自主独立完成向后蹲跳3下的活动发育。</t>
  </si>
  <si>
    <t>穿套头衫。</t>
  </si>
  <si>
    <t>解开小扣子。</t>
  </si>
  <si>
    <t>画正方形。</t>
  </si>
  <si>
    <t>剪正方形。</t>
  </si>
  <si>
    <t>将纸对折。</t>
  </si>
  <si>
    <t>扣上小扣子。</t>
  </si>
  <si>
    <t>在线条范围内着色。</t>
  </si>
  <si>
    <t>画三角形。</t>
  </si>
  <si>
    <t>仿写数字，拼音。</t>
  </si>
  <si>
    <t>用筷子夹食物。</t>
  </si>
  <si>
    <t>将黏土揉成小球。</t>
  </si>
  <si>
    <r>
      <rPr>
        <b/>
        <sz val="12"/>
        <color theme="1"/>
        <rFont val="標楷體"/>
        <family val="4"/>
        <charset val="136"/>
      </rPr>
      <t>一般儿社会性(SI)互动功能发育:</t>
    </r>
    <r>
      <rPr>
        <b/>
        <sz val="12"/>
        <color theme="1"/>
        <rFont val="標楷體"/>
        <family val="4"/>
        <charset val="136"/>
      </rPr>
      <t>(40项)</t>
    </r>
  </si>
  <si>
    <r>
      <rPr>
        <b/>
        <u/>
        <sz val="11"/>
        <color theme="1"/>
        <rFont val="標楷體"/>
        <family val="4"/>
        <charset val="136"/>
      </rPr>
      <t>与人互动</t>
    </r>
    <r>
      <rPr>
        <b/>
        <sz val="11"/>
        <color theme="1"/>
        <rFont val="標楷體"/>
        <family val="4"/>
        <charset val="136"/>
      </rPr>
      <t>(SIP)(13项)</t>
    </r>
  </si>
  <si>
    <t>能和同伴玩团体游戏。</t>
  </si>
  <si>
    <t>能和同伴交谈。</t>
  </si>
  <si>
    <t>能自发的轮流及分享玩具。</t>
  </si>
  <si>
    <t>会在游戏中称赞或批评别的小朋友行为。</t>
  </si>
  <si>
    <t>能主动和同伴合作。</t>
  </si>
  <si>
    <t>能独立和同伴交朋友。</t>
  </si>
  <si>
    <t>在小组活动或其他教学情境时能适当响应(如：对教学内容或指令有响应)。</t>
  </si>
  <si>
    <t>能在适当时机用请、谢谢或不客气等用语。</t>
  </si>
  <si>
    <t>在全新的游戏情境下，能与人分享物品及器材。</t>
  </si>
  <si>
    <t>会把周遭的人及孩子当成朋友。</t>
  </si>
  <si>
    <t>交谈时，会注意听别人说话。</t>
  </si>
  <si>
    <t>在使用别人正在使用的物品时，会征求同意。</t>
  </si>
  <si>
    <t>能和同伴计划将来要玩什么。</t>
  </si>
  <si>
    <r>
      <rPr>
        <b/>
        <u/>
        <sz val="11"/>
        <color theme="1"/>
        <rFont val="標楷體"/>
        <family val="4"/>
        <charset val="136"/>
      </rPr>
      <t>与其他互动</t>
    </r>
    <r>
      <rPr>
        <b/>
        <sz val="11"/>
        <color theme="1"/>
        <rFont val="標楷體"/>
        <family val="4"/>
        <charset val="136"/>
      </rPr>
      <t>(SIE)(9项)</t>
    </r>
  </si>
  <si>
    <t>能避免一般危险(如：破碎物品或危险的动物)。</t>
  </si>
  <si>
    <t>能先试着独立完成工作几分钟，而不急着寻求协助。</t>
  </si>
  <si>
    <t>能完成一件工作(如：画图、拼图)。</t>
  </si>
  <si>
    <t>能在不同的学习区选择喜欢的活动。</t>
  </si>
  <si>
    <t>小心使用他人物品。</t>
  </si>
  <si>
    <t>能说出男人和女人的区别。</t>
  </si>
  <si>
    <t>能分辨适当或不适当的行为。</t>
  </si>
  <si>
    <t>能选择适当的行为，以替代不适当的行为。</t>
  </si>
  <si>
    <t>能扮演不同的角色。</t>
  </si>
  <si>
    <r>
      <rPr>
        <b/>
        <u/>
        <sz val="11"/>
        <color theme="1"/>
        <rFont val="標楷體"/>
        <family val="4"/>
        <charset val="136"/>
      </rPr>
      <t>情绪与自我</t>
    </r>
    <r>
      <rPr>
        <b/>
        <sz val="11"/>
        <color theme="1"/>
        <rFont val="標楷體"/>
        <family val="4"/>
        <charset val="136"/>
      </rPr>
      <t>(SIS)(18项)</t>
    </r>
  </si>
  <si>
    <t>会对奇怪的问题或好笑的图片笑。</t>
  </si>
  <si>
    <t>开始判断各种情况产生的原因。</t>
  </si>
  <si>
    <t>表达情绪的行为更为准确、复杂。</t>
  </si>
  <si>
    <t>随着语言发展，移情反应更深思熟虑。</t>
  </si>
  <si>
    <t>能用较抽象的方式(如：唱歌)来表达自己的情绪。</t>
  </si>
  <si>
    <t>可以把一些行为和道德规范相互比较，产生相应的情绪。</t>
  </si>
  <si>
    <t>能具体描述自己的感觉(如：我累了)。</t>
  </si>
  <si>
    <t>能说出自己喜欢的事或活动。</t>
  </si>
  <si>
    <t>能说出眼耳鼻是做什么用的。</t>
  </si>
  <si>
    <t>希望有独处或一个人的时候。</t>
  </si>
  <si>
    <t>能回答关于如何保持清洁的方法。</t>
  </si>
  <si>
    <t>能在游戏或学习时说出最喜欢哪一部分。</t>
  </si>
  <si>
    <t>能说出婴儿是从哪里来。</t>
  </si>
  <si>
    <t>能说出对某些事物的感觉。</t>
  </si>
  <si>
    <t>能说出自己的愿望。</t>
  </si>
  <si>
    <t>能正面看待自己，谈自己兴趣。</t>
  </si>
  <si>
    <t>能说出自己在某时最喜欢做的事。</t>
  </si>
  <si>
    <t>能对自己喜欢某些事物提出理解。</t>
  </si>
  <si>
    <r>
      <rPr>
        <b/>
        <u/>
        <sz val="11"/>
        <color theme="1"/>
        <rFont val="標楷體"/>
        <family val="4"/>
        <charset val="136"/>
      </rPr>
      <t>注意</t>
    </r>
    <r>
      <rPr>
        <b/>
        <sz val="11"/>
        <color theme="1"/>
        <rFont val="標楷體"/>
        <family val="4"/>
        <charset val="136"/>
      </rPr>
      <t>(MAN)(2项)</t>
    </r>
  </si>
  <si>
    <t>能注意事件中的细节。</t>
  </si>
  <si>
    <t>能注意故事或事件中抽象的状况。</t>
  </si>
  <si>
    <r>
      <rPr>
        <b/>
        <u/>
        <sz val="11"/>
        <color theme="1"/>
        <rFont val="標楷體"/>
        <family val="4"/>
        <charset val="136"/>
      </rPr>
      <t>记忆</t>
    </r>
    <r>
      <rPr>
        <b/>
        <sz val="11"/>
        <color theme="1"/>
        <rFont val="標楷體"/>
        <family val="4"/>
        <charset val="136"/>
      </rPr>
      <t>(MRN)(4项)</t>
    </r>
  </si>
  <si>
    <t>能用语言描述电视中的故事情节。</t>
  </si>
  <si>
    <t>能记得并重复听到的5-6个字的句子，且顺序正确(如：太阳出来了)。</t>
  </si>
  <si>
    <t>在一次性呈现后,能再现10个熟悉物品中,能够记住4-5个。</t>
  </si>
  <si>
    <t>再现10个不熟悉物品中,也能够大约记住2-3个。</t>
  </si>
  <si>
    <r>
      <rPr>
        <b/>
        <u/>
        <sz val="11"/>
        <color theme="1"/>
        <rFont val="標楷體"/>
        <family val="4"/>
        <charset val="136"/>
      </rPr>
      <t>概念</t>
    </r>
    <r>
      <rPr>
        <b/>
        <sz val="11"/>
        <color theme="1"/>
        <rFont val="標楷體"/>
        <family val="4"/>
        <charset val="136"/>
      </rPr>
      <t>(MCN)(3项)</t>
    </r>
  </si>
  <si>
    <t>能理解一样多的概念，并将2个、4个、6个及8个物品分成二堆，每堆(或每人)一样多。</t>
  </si>
  <si>
    <t>能根据声音的特性进行分类(如：机器和人的声音)。</t>
  </si>
  <si>
    <t>能理解过去、现在、将来。可能知道一星期各天的名称，但可能不清楚它们的顺序。</t>
  </si>
  <si>
    <r>
      <rPr>
        <b/>
        <u/>
        <sz val="11"/>
        <color theme="1"/>
        <rFont val="標楷體"/>
        <family val="4"/>
        <charset val="136"/>
      </rPr>
      <t>推理</t>
    </r>
    <r>
      <rPr>
        <b/>
        <sz val="11"/>
        <color theme="1"/>
        <rFont val="標楷體"/>
        <family val="4"/>
        <charset val="136"/>
      </rPr>
      <t>(MIN)(3项)</t>
    </r>
  </si>
  <si>
    <t>开始具备传递性推理能力，即对元素排列次序关系的一种推理（如，由A&gt;B，B&gt;C，推出A&gt;C）。</t>
  </si>
  <si>
    <t>具备因果推理能力(且许多儿童已经基本上具有了思维的可逆性)。</t>
  </si>
  <si>
    <t>能够进行逆向的果→因推理。</t>
  </si>
  <si>
    <r>
      <rPr>
        <b/>
        <sz val="12"/>
        <color theme="1"/>
        <rFont val="標楷體"/>
        <family val="4"/>
        <charset val="136"/>
      </rPr>
      <t>一般儿语言(ML)</t>
    </r>
    <r>
      <rPr>
        <b/>
        <sz val="12"/>
        <color theme="1"/>
        <rFont val="標楷體"/>
        <family val="4"/>
        <charset val="136"/>
      </rPr>
      <t>功能</t>
    </r>
    <r>
      <rPr>
        <b/>
        <sz val="12"/>
        <color theme="1"/>
        <rFont val="標楷體"/>
        <family val="4"/>
        <charset val="136"/>
      </rPr>
      <t>发育：</t>
    </r>
    <r>
      <rPr>
        <b/>
        <sz val="12"/>
        <color theme="1"/>
        <rFont val="標楷體"/>
        <family val="4"/>
        <charset val="136"/>
      </rPr>
      <t>(24项)</t>
    </r>
  </si>
  <si>
    <t>了解“多远”。</t>
  </si>
  <si>
    <t>会区分相同或不同形状。</t>
  </si>
  <si>
    <t>懂得“多加一点“及“减少一点”。</t>
  </si>
  <si>
    <t>会在要求下指出一系列东西中，第几个是哪一个。</t>
  </si>
  <si>
    <t>懂得较复杂情节的故事。</t>
  </si>
  <si>
    <t>能看图片说故事。</t>
  </si>
  <si>
    <r>
      <rPr>
        <b/>
        <u/>
        <sz val="11"/>
        <color theme="1"/>
        <rFont val="標楷體"/>
        <family val="4"/>
        <charset val="136"/>
      </rPr>
      <t>表达(说)</t>
    </r>
    <r>
      <rPr>
        <b/>
        <sz val="11"/>
        <color theme="1"/>
        <rFont val="標楷體"/>
        <family val="4"/>
        <charset val="136"/>
      </rPr>
      <t>(MLEY)(18项)</t>
    </r>
  </si>
  <si>
    <t>已能和成人自由交谈。</t>
  </si>
  <si>
    <t>声母l,s,zh.ch.sh.r。</t>
  </si>
  <si>
    <t>会说钱币名称。</t>
  </si>
  <si>
    <t>正确使用“为什么”。</t>
  </si>
  <si>
    <t>为引起别人的注意，会用夸张的语调及简单语句。</t>
  </si>
  <si>
    <t>至少能唱完一首完整的儿歌。</t>
  </si>
  <si>
    <t>用“和”靠近“在…旁边”。</t>
  </si>
  <si>
    <t>会用“一个”，会说出简单相反词。</t>
  </si>
  <si>
    <t>会由1数到10或以上。</t>
  </si>
  <si>
    <t>会解释字义。</t>
  </si>
  <si>
    <t>能明确表示自己的思想。</t>
  </si>
  <si>
    <t>能说出几种东西是什么做成的。</t>
  </si>
  <si>
    <t>能描述下一步是什么。</t>
  </si>
  <si>
    <t>照着图仿画三角形。</t>
  </si>
  <si>
    <t>照着写数字。</t>
  </si>
  <si>
    <t>能绘画简单的图形。</t>
  </si>
  <si>
    <t>照着图仿画菱形。</t>
  </si>
  <si>
    <t>听写数字。</t>
  </si>
  <si>
    <t>5岁至6岁:6岁动作年龄发育阶段</t>
  </si>
  <si>
    <t>5-6岁</t>
  </si>
  <si>
    <t>2.24(M6S6)双手协同携物及单脚站立姿摆位下，可自主独立完成正确独立各单脚维持中线站立5秒并慢速数数1~5下的姿势控制。</t>
  </si>
  <si>
    <t>(M6S6)站立姿摆位下，可自主独立完成正确交替抬脚踩踏梯背架高位横杆及对侧上肢抬手与数数的(10~1下)多样性活动与姿势控制。</t>
  </si>
  <si>
    <t>2.25(M6S6)四点爬姿摆位下，可自主独立完成正确对侧交替抬脚、抬手及维持中线姿势控制10秒并能倒数第几回及正数数1~10秒活动与姿势控制(例如:10，1~10；9，1~10；~1，1~10)。</t>
  </si>
  <si>
    <t>2.26(M6S6)各单脚站立摆位下，可自主独立完成正确独立且稳定单脚原地连续跳5下，及期间各维持5</t>
  </si>
  <si>
    <t>秒单脚站立姿势并能配合正数第几回及正数数1~5秒活动与姿势控制(例如:1，1~5；2，1~5；</t>
  </si>
  <si>
    <t>~5，1~5)。</t>
  </si>
  <si>
    <t>穿衣。</t>
  </si>
  <si>
    <t>在牙刷上挤牙膏。</t>
  </si>
  <si>
    <t>用筷子夹物。</t>
  </si>
  <si>
    <t>将纸对折再对折。</t>
  </si>
  <si>
    <t>画菱形。</t>
  </si>
  <si>
    <t>会写一写字。</t>
  </si>
  <si>
    <t>使用刀子。</t>
  </si>
  <si>
    <t>能用铅笔写字或画。</t>
  </si>
  <si>
    <t>会系鞋带。</t>
  </si>
  <si>
    <r>
      <rPr>
        <b/>
        <sz val="12"/>
        <color theme="1"/>
        <rFont val="標楷體"/>
        <family val="4"/>
        <charset val="136"/>
      </rPr>
      <t>一般儿社会性(SI)互动功能发育:</t>
    </r>
    <r>
      <rPr>
        <b/>
        <sz val="12"/>
        <color theme="1"/>
        <rFont val="標楷體"/>
        <family val="4"/>
        <charset val="136"/>
      </rPr>
      <t>(28项)</t>
    </r>
  </si>
  <si>
    <r>
      <rPr>
        <b/>
        <u/>
        <sz val="11"/>
        <color theme="1"/>
        <rFont val="標楷體"/>
        <family val="4"/>
        <charset val="136"/>
      </rPr>
      <t>与人互动</t>
    </r>
    <r>
      <rPr>
        <b/>
        <sz val="11"/>
        <color theme="1"/>
        <rFont val="標楷體"/>
        <family val="4"/>
        <charset val="136"/>
      </rPr>
      <t>(SIP)(14项)</t>
    </r>
  </si>
  <si>
    <t>在大人协助下，能和同伴玩简单的规则性游戏(如：五子棋)。</t>
  </si>
  <si>
    <t>能参与表决。</t>
  </si>
  <si>
    <t>能遵守团体的规定。</t>
  </si>
  <si>
    <t>会适当的回话(电话)，传达知道的讯息。</t>
  </si>
  <si>
    <t>能参加集体活动，自我评价。</t>
  </si>
  <si>
    <t>出现合作意识。</t>
  </si>
  <si>
    <t>会选择要好的朋友。</t>
  </si>
  <si>
    <t>在游戏中有些性别区分。</t>
  </si>
  <si>
    <t>在大人监督下，独自到店里买简单物品。</t>
  </si>
  <si>
    <t>在游戏中会遵守公平及规则。</t>
  </si>
  <si>
    <t>能观察出游戏规则，与人轮流。</t>
  </si>
  <si>
    <t>在学习中，与人合作。</t>
  </si>
  <si>
    <t>会和同伴分享秘密(不告诉大人)。</t>
  </si>
  <si>
    <t>努力使团体、老师满意，遵守团体规范。</t>
  </si>
  <si>
    <r>
      <rPr>
        <b/>
        <u/>
        <sz val="11"/>
        <color theme="1"/>
        <rFont val="標楷體"/>
        <family val="4"/>
        <charset val="136"/>
      </rPr>
      <t>与其他互动</t>
    </r>
    <r>
      <rPr>
        <b/>
        <sz val="11"/>
        <color theme="1"/>
        <rFont val="標楷體"/>
        <family val="4"/>
        <charset val="136"/>
      </rPr>
      <t>(SIE)(10项)</t>
    </r>
  </si>
  <si>
    <t>在大人监督下，在自己住家附近玩，而不会乱跑到马路上去。</t>
  </si>
  <si>
    <t>能为家务事负责(主动不须监督就做好)。</t>
  </si>
  <si>
    <t>能表现出适当行为(如：在图书馆看书时知道小声讲话)。</t>
  </si>
  <si>
    <t>能完成一长期工作(如：浇花)。</t>
  </si>
  <si>
    <t>在日常生活中，能分辨现实和幻想。</t>
  </si>
  <si>
    <t>能照着刚订定的计划执行。</t>
  </si>
  <si>
    <t>能遵守自己的未来计划。</t>
  </si>
  <si>
    <t>独立完成数件或复杂长久的工作。</t>
  </si>
  <si>
    <t>能将作息内容和时间配对。</t>
  </si>
  <si>
    <t>会玩简单桌上游戏(如：扑克牌)。</t>
  </si>
  <si>
    <t>能采取积极的策略和认知策略，进行自我情绪控制。</t>
  </si>
  <si>
    <t>遵守情绪表达规则，尽量表现积极情绪。</t>
  </si>
  <si>
    <t>回答关于如何照顾自己的方法。</t>
  </si>
  <si>
    <t>知道自己观点，意识不到别人的观点。</t>
  </si>
  <si>
    <r>
      <rPr>
        <b/>
        <sz val="12"/>
        <color theme="1"/>
        <rFont val="標楷體"/>
        <family val="4"/>
        <charset val="136"/>
      </rPr>
      <t>一般儿认知(M)</t>
    </r>
    <r>
      <rPr>
        <b/>
        <sz val="12"/>
        <color theme="1"/>
        <rFont val="標楷體"/>
        <family val="4"/>
        <charset val="136"/>
      </rPr>
      <t>功能</t>
    </r>
    <r>
      <rPr>
        <b/>
        <sz val="12"/>
        <color theme="1"/>
        <rFont val="標楷體"/>
        <family val="4"/>
        <charset val="136"/>
      </rPr>
      <t>发育：</t>
    </r>
    <r>
      <rPr>
        <b/>
        <sz val="12"/>
        <color theme="1"/>
        <rFont val="標楷體"/>
        <family val="4"/>
        <charset val="136"/>
      </rPr>
      <t>(23项)</t>
    </r>
  </si>
  <si>
    <r>
      <rPr>
        <b/>
        <u/>
        <sz val="11"/>
        <color theme="1"/>
        <rFont val="標楷體"/>
        <family val="4"/>
        <charset val="136"/>
      </rPr>
      <t>注意</t>
    </r>
    <r>
      <rPr>
        <b/>
        <sz val="11"/>
        <color theme="1"/>
        <rFont val="標楷體"/>
        <family val="4"/>
        <charset val="136"/>
      </rPr>
      <t>(MAN)(3项)</t>
    </r>
  </si>
  <si>
    <t>观察逐渐转变为一个相互独立的，有目的、有组织的过程(并开始逐步形成有方向的，自觉的观察力)。</t>
  </si>
  <si>
    <t>有意识注意明显增强，能按活动的目的和成人的要求进行。</t>
  </si>
  <si>
    <t>能照着示范者排列的顺序，将字排列成句子。</t>
  </si>
  <si>
    <t>已有意识记忆，能接受家长和老师的要求，进行有目的的记忆。</t>
  </si>
  <si>
    <t>10个熟悉物品中能够记住6-7个，不熟悉物品中也能记住4-5个。</t>
  </si>
  <si>
    <t>能懂得应用一些记忆方法。</t>
  </si>
  <si>
    <t>会把某些归类，建立起逻辑联系来提高记忆。</t>
  </si>
  <si>
    <r>
      <rPr>
        <b/>
        <u/>
        <sz val="11"/>
        <color theme="1"/>
        <rFont val="標楷體"/>
        <family val="4"/>
        <charset val="136"/>
      </rPr>
      <t>概念</t>
    </r>
    <r>
      <rPr>
        <b/>
        <sz val="11"/>
        <color theme="1"/>
        <rFont val="標楷體"/>
        <family val="4"/>
        <charset val="136"/>
      </rPr>
      <t>(MCN)(8项)</t>
    </r>
  </si>
  <si>
    <t>能理解几种水果、蔬菜、花，并说出它们的用途。</t>
  </si>
  <si>
    <t>能区分几种常见的树。</t>
  </si>
  <si>
    <t>能说出水陆上的交通工具、常见家具的名称。</t>
  </si>
  <si>
    <t>能说出四个季节的特征。</t>
  </si>
  <si>
    <t>本体运动知觉发育成熟,有重量概念。</t>
  </si>
  <si>
    <t>初步理解了“真实”“虚构”。</t>
  </si>
  <si>
    <t>知道一年12个月的名称。</t>
  </si>
  <si>
    <t>时间概念比较准确可以看钟表。</t>
  </si>
  <si>
    <r>
      <rPr>
        <b/>
        <u/>
        <sz val="11"/>
        <color theme="1"/>
        <rFont val="標楷體"/>
        <family val="4"/>
        <charset val="136"/>
      </rPr>
      <t>推理</t>
    </r>
    <r>
      <rPr>
        <b/>
        <sz val="11"/>
        <color theme="1"/>
        <rFont val="標楷體"/>
        <family val="4"/>
        <charset val="136"/>
      </rPr>
      <t>(MIN)(8项)</t>
    </r>
  </si>
  <si>
    <t>对自己的行为做初步评价。</t>
  </si>
  <si>
    <t>有一定的道德感和责任感。</t>
  </si>
  <si>
    <t>能对未来作出推论(如：车子会越来越多)。</t>
  </si>
  <si>
    <t>能预期幻想结果(如：在下雪的时候应该穿什么衣服)。</t>
  </si>
  <si>
    <t>能解决有顺序推论问题。</t>
  </si>
  <si>
    <t>能解决有逻辑推理问题(如：根据三个图形的关系找出第四个图形)。</t>
  </si>
  <si>
    <t>能准确判断自己能做什么，不能做什么。</t>
  </si>
  <si>
    <t>会通过改变自己的行为来使同伴满意。</t>
  </si>
  <si>
    <t>会区分“最接近”、“最远”、“整个”、“一半”。</t>
  </si>
  <si>
    <t>能依要求正确找出1-10所要的数字。</t>
  </si>
  <si>
    <t>了解“以前”、“以后”，区分“左右”。</t>
  </si>
  <si>
    <t>能猜10个左右谜语。</t>
  </si>
  <si>
    <t>能较好地理解被动语句。</t>
  </si>
  <si>
    <t>能读拼音及一些汉字。</t>
  </si>
  <si>
    <r>
      <rPr>
        <b/>
        <u/>
        <sz val="11"/>
        <color theme="1"/>
        <rFont val="標楷體"/>
        <family val="4"/>
        <charset val="136"/>
      </rPr>
      <t>口语表达(说)</t>
    </r>
    <r>
      <rPr>
        <b/>
        <sz val="11"/>
        <color theme="1"/>
        <rFont val="標楷體"/>
        <family val="4"/>
        <charset val="136"/>
      </rPr>
      <t>(MLEY)(10项)</t>
    </r>
  </si>
  <si>
    <t>连词数量迅速增加。</t>
  </si>
  <si>
    <t>会说有因果转折、条件假设等关系的连词的句子（如“为了”“结果”“要不然”…）。</t>
  </si>
  <si>
    <t>也会说成对连词的句子（如“没有…只有…”如果…就”）。</t>
  </si>
  <si>
    <t>能很流利地表达复杂的句型，会讲较复杂的故事。</t>
  </si>
  <si>
    <t>会说量词，但还不能很正确地遵从“数词+量词+名词”，(如：一辆自行车)。</t>
  </si>
  <si>
    <t>能讲出四季的名称和主要特点。</t>
  </si>
  <si>
    <t>会说时间字汇：早上、中午、晚上。</t>
  </si>
  <si>
    <t>照着写拼音、简单汉字。</t>
  </si>
  <si>
    <t>能仿写合体字。</t>
  </si>
  <si>
    <t>自行写出一些汉字。</t>
  </si>
  <si>
    <t>一、综合能力检测分析图(总项分析)</t>
  </si>
  <si>
    <t>发育时间阶段</t>
  </si>
  <si>
    <t>躯肢体粗大
动作</t>
  </si>
  <si>
    <t>双上肢粗大运动</t>
  </si>
  <si>
    <t>精细
动作</t>
  </si>
  <si>
    <t>社会性互动</t>
  </si>
  <si>
    <t>认知</t>
  </si>
  <si>
    <t>口腔
动作</t>
  </si>
  <si>
    <t>语言</t>
  </si>
  <si>
    <t>二、综合能力检测分析图(细项分析)</t>
  </si>
  <si>
    <t>发育时间</t>
  </si>
  <si>
    <t>口腔动作</t>
  </si>
  <si>
    <t>三、目前暂未体现能力</t>
  </si>
  <si>
    <t xml:space="preserve">1.2.24(M6S6)双手协同携物及单脚站立姿摆位下，可自主独立完成正确独立各单脚维持中线站立5秒并慢速数数1~5下的姿势控制。
2.(M6S6)站立姿摆位下，可自主独立完成正确交替抬脚踩踏梯背架高位横杆及对侧上肢抬手与数数的(10~1下)多样性活动与姿势控制。
3.2.25(M6S6)四点爬姿摆位下，可自主独立完成正确对侧交替抬脚、抬手及维持中线姿势控制10秒并能倒数第几回及正数数1~10秒活动与姿势控制(例如:10，1~10；9，1~10；~1，1~10)。
4.2.26(M6S6)各单脚站立摆位下，可自主独立完成正确独立且稳定单脚原地连续跳5下，及期间各维持5
</t>
  </si>
  <si>
    <t xml:space="preserve">1.穿衣。
2.在牙刷上挤牙膏。
3.用筷子夹物。
4.将纸对折再对折。
5.画菱形。
6.会写一写字。
7.使用刀子。
8.能用铅笔写字或画。
9.会系鞋带。
</t>
  </si>
  <si>
    <t xml:space="preserve">1.在大人协助下，能和同伴玩简单的规则性游戏(如：五子棋)。
2.能参与表决。
3.能遵守团体的规定。
4.会适当的回话(电话)，传达知道的讯息。
5.能参加集体活动，自我评价。
6.出现合作意识。
7.会选择要好的朋友。
8.在游戏中有些性别区分。
9.在大人监督下，独自到店里买简单物品。
10.在游戏中会遵守公平及规则。
11.能观察出游戏规则，与人轮流。
12.在学习中，与人合作。
13.会和同伴分享秘密(不告诉大人)。
14.努力使团体、老师满意，遵守团体规范。
</t>
  </si>
  <si>
    <t xml:space="preserve">1.在大人监督下，在自己住家附近玩，而不会乱跑到马路上去。
2.能为家务事负责(主动不须监督就做好)。
3.能表现出适当行为(如：在图书馆看书时知道小声讲话)。
4.能完成一长期工作(如：浇花)。
5.在日常生活中，能分辨现实和幻想。
6.能照着刚订定的计划执行。
7.能遵守自己的未来计划。
8.独立完成数件或复杂长久的工作。
9.能将作息内容和时间配对。
10.会玩简单桌上游戏(如：扑克牌)。
</t>
  </si>
  <si>
    <t xml:space="preserve">1.能采取积极的策略和认知策略，进行自我情绪控制。
2.遵守情绪表达规则，尽量表现积极情绪。
3.回答关于如何照顾自己的方法。
4.知道自己观点，意识不到别人的观点。
</t>
  </si>
  <si>
    <t xml:space="preserve">1.观察逐渐转变为一个相互独立的，有目的、有组织的过程(并开始逐步形成有方向的，自觉的观察力)。
2.有意识注意明显增强，能按活动的目的和成人的要求进行。
3.能照着示范者排列的顺序，将字排列成句子。
</t>
  </si>
  <si>
    <t xml:space="preserve">1.已有意识记忆，能接受家长和老师的要求，进行有目的的记忆。
2.10个熟悉物品中能够记住6-7个，不熟悉物品中也能记住4-5个。
3.能懂得应用一些记忆方法。
4.会把某些归类，建立起逻辑联系来提高记忆。
</t>
  </si>
  <si>
    <t xml:space="preserve">1.能理解几种水果、蔬菜、花，并说出它们的用途。
2.能区分几种常见的树。
3.能说出水陆上的交通工具、常见家具的名称。
4.能说出四个季节的特征。
5.本体运动知觉发育成熟,有重量概念。
6.初步理解了“真实”“虚构”。
7.知道一年12个月的名称。
8.时间概念比较准确可以看钟表。
</t>
  </si>
  <si>
    <t xml:space="preserve">1.对自己的行为做初步评价。
2.有一定的道德感和责任感。
3.能对未来作出推论(如：车子会越来越多)。
4.能预期幻想结果(如：在下雪的时候应该穿什么衣服)。
5.能解决有顺序推论问题。
6.能解决有逻辑推理问题(如：根据三个图形的关系找出第四个图形)。
7.能准确判断自己能做什么，不能做什么。
8.会通过改变自己的行为来使同伴满意。
</t>
  </si>
  <si>
    <t xml:space="preserve">1.会区分“最接近”、“最远”、“整个”、“一半”。
2.能依要求正确找出1-10所要的数字。
3.了解“以前”、“以后”，区分“左右”。
4.能猜10个左右谜语。
5.能较好地理解被动语句。
6.能读拼音及一些汉字。
</t>
  </si>
  <si>
    <t xml:space="preserve">1.连词数量迅速增加。
2.会说有因果转折、条件假设等关系的连词的句子（如“为了”“结果”“要不然”…）。
3.也会说成对连词的句子（如“没有…只有…”如果…就”）。
4.能很流利地表达复杂的句型，会讲较复杂的故事。
5.会说量词，但还不能很正确地遵从“数词+量词+名词”，(如：一辆自行车)。
6.能讲出四季的名称和主要特点。
7.会说时间字汇：早上、中午、晚上。
8.照着写拼音、简单汉字。
9.能仿写合体字。
10.自行写出一些汉字。
</t>
  </si>
  <si>
    <t xml:space="preserve">1.(M5S5)双手扶持梯背架及单脚站立姿摆位下，可自主独立完成单下肢动态半蹲站2下的活动控制。
2.(M5S5)站立姿摆位下，可自主独立完成双下肢交替踩踏高位横杆(超越髋关节高度)(1~10下)的
3.2.21(M6S6)单脚踩踏高位横杆站立姿摆位下，可自主独立完成正确双上肢协同抛、接球(1~10下)的
4.(M5S5)双手协同携物及跪坐姿摆位下，可自主独立完成向前跪坐跳2下的活动发育。
5.2.22(M5S5)双手协同携物及蹲姿摆位下，可自主独立完成向前蹲跳3下的活动发育。
6.2.23(M5S5)双手协同携物及蹲姿摆位下，可自主独立完成向后蹲跳3下的活动发育。
</t>
  </si>
  <si>
    <t xml:space="preserve">1.穿套头衫。
2.解开小扣子。
3.画正方形。
4.剪正方形。
5.将纸对折。
6.扣上小扣子。
7.在线条范围内着色。
8.画三角形。
9.仿写数字，拼音。
10.用筷子夹食物。
11.将黏土揉成小球。
</t>
  </si>
  <si>
    <t xml:space="preserve">1.能和同伴玩团体游戏。
2.能和同伴交谈。
3.能自发的轮流及分享玩具。
4.会在游戏中称赞或批评别的小朋友行为。
5.能主动和同伴合作。
6.能独立和同伴交朋友。
7.在小组活动或其他教学情境时能适当响应(如：对教学内容或指令有响应)。
8.能在适当时机用请、谢谢或不客气等用语。
9.在全新的游戏情境下，能与人分享物品及器材。
10.会把周遭的人及孩子当成朋友。
11.交谈时，会注意听别人说话。
12.在使用别人正在使用的物品时，会征求同意。
13.能和同伴计划将来要玩什么。
</t>
  </si>
  <si>
    <t xml:space="preserve">1.能避免一般危险(如：破碎物品或危险的动物)。
2.能先试着独立完成工作几分钟，而不急着寻求协助。
3.能完成一件工作(如：画图、拼图)。
4.能在不同的学习区选择喜欢的活动。
5.小心使用他人物品。
6.能说出男人和女人的区别。
7.能分辨适当或不适当的行为。
8.能选择适当的行为，以替代不适当的行为。
9.能扮演不同的角色。
</t>
  </si>
  <si>
    <t xml:space="preserve">1.会对奇怪的问题或好笑的图片笑。
2.开始判断各种情况产生的原因。
3.表达情绪的行为更为准确、复杂。
4.随着语言发展，移情反应更深思熟虑。
5.能用较抽象的方式(如：唱歌)来表达自己的情绪。
6.可以把一些行为和道德规范相互比较，产生相应的情绪。
7.能具体描述自己的感觉(如：我累了)。
8.能说出自己喜欢的事或活动。
9.能说出眼耳鼻是做什么用的。
10.希望有独处或一个人的时候。
11.能回答关于如何保持清洁的方法。
12.能在游戏或学习时说出最喜欢哪一部分。
13.能说出婴儿是从哪里来。
14.能说出对某些事物的感觉。
15.能说出自己的愿望。
16.能正面看待自己，谈自己兴趣。
17.能说出自己在某时最喜欢做的事。
18.能对自己喜欢某些事物提出理解。
</t>
  </si>
  <si>
    <t xml:space="preserve">1.能注意事件中的细节。
2.能注意故事或事件中抽象的状况。
</t>
  </si>
  <si>
    <t xml:space="preserve">1.能用语言描述电视中的故事情节。
2.能记得并重复听到的5-6个字的句子，且顺序正确(如：太阳出来了)。
3.在一次性呈现后,能再现10个熟悉物品中,能够记住4-5个。
4.再现10个不熟悉物品中,也能够大约记住2-3个。
</t>
  </si>
  <si>
    <t xml:space="preserve">1.能理解一样多的概念，并将2个、4个、6个及8个物品分成二堆，每堆(或每人)一样多。
2.能根据声音的特性进行分类(如：机器和人的声音)。
3.能理解过去、现在、将来。可能知道一星期各天的名称，但可能不清楚它们的顺序。
</t>
  </si>
  <si>
    <t xml:space="preserve">1.开始具备传递性推理能力，即对元素排列次序关系的一种推理（如，由A&gt;B，B&gt;C，推出A&gt;C）。
2.具备因果推理能力(且许多儿童已经基本上具有了思维的可逆性)。
3.能够进行逆向的果→因推理。
</t>
  </si>
  <si>
    <t xml:space="preserve">1.了解“多远”。
2.会区分相同或不同形状。
3.懂得“多加一点“及“减少一点”。
4.会在要求下指出一系列东西中，第几个是哪一个。
5.懂得较复杂情节的故事。
6.能看图片说故事。
</t>
  </si>
  <si>
    <t xml:space="preserve">1.已能和成人自由交谈。
2.声母l,s,zh.ch.sh.r。
3.会说钱币名称。
4.正确使用“为什么”。
5.为引起别人的注意，会用夸张的语调及简单语句。
6.至少能唱完一首完整的儿歌。
7.用“和”靠近“在…旁边”。
8.会用“一个”，会说出简单相反词。
9.会由1数到10或以上。
10.会解释字义。
11.能明确表示自己的思想。
12.能说出几种东西是什么做成的。
13.能描述下一步是什么。
14.照着图仿画三角形。
15.照着写数字。
16.能绘画简单的图形。
17.照着图仿画菱形。
18.听写数字。
</t>
  </si>
  <si>
    <t xml:space="preserve">1.(M5S5)站立姿摆位下，可自主独立完成双下肢交替踩踏高位横杆(超越20公分高度)(1~10下)
2.2.13(M5S5)半跪姿摆位下，可自主独立完成各单脚动态半跪姿站立起1下的活动与姿势发育。
3.2.14(M6S6)高跪姿摆位下，可自主独立完成正确交替半跪及对侧上肢抬手与数数(1~10下)的多样性活动与姿势发育。
4.(M5S5)双手协同携物及半跪姿摆位下，可自主独立完成向后半跪走3步的活动发育。
5.2.15(M5S5)任务指令要求下，可自主双手扶地维持中线蹲姿2秒的姿势发育。
6.2.16(M5S5)任务指令要求下，可自主独立维持中线蹲姿2秒的姿势发育。
7.2.17(M5S5)任务指令要求下，可自主独立完成独立连续动态全蹲站2下的活动发育。
8.2.18(M5S5)任务指令要求下，可自主独立完成扶地向前蹲走3步的活动发育。
9.2.19(M5S5)任务指令要求下，可自主独立完成独立向前蹲走3步的活动发育。
10.2.20(M5S5)任务指令要求下，可自主独立完成独立向后蹲走3步的活动发育。
</t>
  </si>
  <si>
    <t xml:space="preserve">1.穿长裤。
2.脱衣套头衫。
3.模仿画＋字。
4.沿直线剪纸。
5.拿筷子扒饭。
6.脱下衬衫。
7.扣暗扣。
8.模仿画×。
9.穿上衬衫。
10.刷牙。
11.模仿画正方形。
12.剪圆形。
13.连点成线(48个月)。
</t>
  </si>
  <si>
    <t xml:space="preserve">1.与其他小孩在游戏中比赛(玩参与性游戏)。
2.希望别人注意自己的表演。
3.会知道如何给小朋友一些暗示。
4.能试着安慰他人。
5.能和同伴玩简单游戏。
6.会道歉(如：做错事时会说“对不起”)。
7.有一位要好的同伴(能区分好朋友和普通朋友)。
8.遵守大人要求玩玩具或游戏规则。
9.在遭遇困难的情景，能主动要求协助。
10.会袒护、安慰朋友。
11.当要求某些物品时，会以比较适当的行为代替哭、闹的方式。
12.在拿物品或玩玩具时，会寻求许可及赞同。
</t>
  </si>
  <si>
    <t xml:space="preserve">1.自己过斑马线或过街。
2.在熟悉的环境(如：幼儿园)中能和父母分离。
3.能在食物、衣服及活动中做出选择。
4.在学习时，能主动参与不强迫。
5.对不熟悉的人或新的环境不觉得害怕。
6.能说出自己常做的活动。
7.有性别角色认识。
8.能扮演自己喜欢做的事。
</t>
  </si>
  <si>
    <t xml:space="preserve">1.发展出爱、骄傲、内疚情绪。
2.产生出同情的感情。
3.能说出自己的全名。
4.自尊心特强。
5.记忆的自我，以自述方式出现。
6.自我概念强调特征、经历情感。
7.能了解自己的感觉。
8.能分辨自己和他人的物品。
9.能说出6种以上身体部位的名称。
</t>
  </si>
  <si>
    <t xml:space="preserve">1.注意力变得更加持久和有计划性。
2.能在课堂活动中适当转换注意力(如：由听转至看)。
3.能注意故事中的变化。
4.能专注于小组活动20-25分钟。
5.注意力集中，能在注意转移之前专心玩游戏或者连续看20分钟电视。
</t>
  </si>
  <si>
    <t xml:space="preserve">1.能回忆仅看过一次的10-15个物体中的4个。
2.能记得并重复包含形容词的四个字的句子(如：你好漂亮)。
3.能在提示下，记起刚才看过故事中的一到二个重点。
4.短期记忆改进：可通过反复诵读，记住短诗和电话号码。
</t>
  </si>
  <si>
    <t xml:space="preserve">1.开始理解介词的意思，知道切一半会变成两块。
2.能唱数1-10。
3.数量概念形成的最佳时期(这时宝宝已经掌握了10以内数的概念)。
4.能理解简单的时间概念(如：白天、晚上、四季)。
</t>
  </si>
  <si>
    <t xml:space="preserve">1.能注意到并转换逆向思维，理解很多因果关系。
2.能区分表像和现实。
3.因果推理能力发展的快速期。
4.知道加东西会使一堆物品变多。
5.知道拿走东西会使一堆物品变少。
</t>
  </si>
  <si>
    <t xml:space="preserve">1.了解〝大小〞〝上下〞〝前后〞〝里外〞。
2.能回答〝这是谁的〞〝为什么〞等问题。
3.能回答“有多少”“多久”的问题。
4.了解“昨天”“今天”的意义。
5.能看图说话。
6.能指认黑白相片中的物品。
</t>
  </si>
  <si>
    <t xml:space="preserve">1.会用否定命令句，如：不要做…。
2.会用“这是…”来表达。
3.会用“什么时候…”的句子。
4.可解释简单图画。
5.会说1600个(多个)左右的词。
6.会说5-8个(多个)反义词。
7.说出自己的性别。
8.说出一周包括哪七天。
9.声母f、j、zh、ch、sh、z、c。
10.示范下模仿画x形。
11.照着图仿画方形。
</t>
  </si>
  <si>
    <t xml:space="preserve">1.会适当用力。
2.会漱口。
</t>
  </si>
  <si>
    <t xml:space="preserve">1.小凳子上跳下。
</t>
  </si>
  <si>
    <t xml:space="preserve">1.(M3S4)双手扶持梯背架及站立姿摆位下，可自主模仿双下肢交替踩踏高位横杆(超越髋关节高度)
2.(M4S4)双手扶持梯背架及高跪姿摆位下，可自主模仿双下肢交替半跪3下的活动发育。
3.2.10(M4S4)各单手扶持梯背架及高跪姿摆位下，可自主模仿双下肢交替半跪3下的活动发育。
4.(M4S4)双手扶持大龙球及高跪姿摆位下，可自主模仿双下肢交替半跪3下的活动发育。
5.2.11(M4S5)任务指令要求及高跪姿摆位下，可自主完成各单脚维持中線半跪姿2秒的姿势发育。
6.2.12(M5S5)任务指令要求及高跪姿摆位下，可自主完成独立维持中線交替半跪3下的活动发育。
</t>
  </si>
  <si>
    <t xml:space="preserve">1.解开外套的大扣子。
2.扣上外套的大扣子。
3.穿内裤。
4.用粗线穿洞洞板。
5.用毛巾檫脸。
6.模仿画圆形。
7.在线上描绘。
</t>
  </si>
  <si>
    <t xml:space="preserve">1.能根据性别年龄来称呼人，关注别人对自己的态度。
2.能协助大人清扫或擦桌子。
3.能和熟悉的大人互动，并维持互动。
4.能正确回答是男孩还是女孩。
5.会响应同伴的社会行为(如问好)。
6.遵守简单有关礼貌方面的规则(建立简单学习常规与社交能力)。
7.会找借口以逃避责罚。
8.有分离焦虑。
</t>
  </si>
  <si>
    <t xml:space="preserve">1.自己能去邻居小朋友家玩。
2.能耐心等大人为他做事，不觉得不耐烦。
3.遵守简单和吃有关的规则。
4.知道自己性别。
5.对固定的作息有所回应(如：吃饭时会主动坐到桌边)。
6.能和宠物正向互动(如：摸它)。
7.能说某些情境应遵守的规则(了解学习常规)。
</t>
  </si>
  <si>
    <t xml:space="preserve">1.当其他孩子受伤或受挫时表现出难过(发展同理心)。
2.对参与活动感到愉快(有自主学习意愿)。
3.会用语言(或发音)来表达情绪(有自主表达意愿)。
4.对自己的成就感到骄傲(有学习自信)。
5.有自我感受。
6.能说出及指出照片中的自己。
7.说出身体部位的名称。
</t>
  </si>
  <si>
    <t xml:space="preserve">1.能记得几周前发生的事。
2.能记得并重复听到的三个字的句子(如：你好吗?)。
3.能注意周围环境中的变化并和认识过程结合起来(有意义的注意开始出现)。
</t>
  </si>
  <si>
    <t xml:space="preserve">1.可以流利的说出家人的姓名和职业。
</t>
  </si>
  <si>
    <t xml:space="preserve">1.能够认识5种以上的颜色。
2.开始理解复数名词(如:我们、你们、他们)。
3.有了多项选择能力，比如：妈妈说“把红色的皮球给我”(在之前他只知道拿红色的球却不一定是皮的)。
4.能按物品用途分类，如：吃的、穿的、玩的。
5.懂得“里、外”。
</t>
  </si>
  <si>
    <t xml:space="preserve">1.开始有了自我感受，但这种感受非常直接(如：妈妈骂了他，就会认为妈妈不喜欢他)。
2.热衷于搞清楚周围的人际关系。
3.能够根据性别和年龄来称呼别人(如：叔叔、阿姨等)。
4.开始关注周围人对自己的态度。
5.能用一物代替另一物当玩具(如：将筷子当成箭在射击)。
6.能依眼睛看到的资料为基础，猜出物品的名称(如：告诉孩子动物的特征，让其猜出是什么动物)。
7.能用相同的物品达到不同的功能。
</t>
  </si>
  <si>
    <t xml:space="preserve">1.能听懂有关位置、所有权及数量的问话。
2.理解故事主要情节。
3.能说出100张(或多张)左右图片名称。
</t>
  </si>
  <si>
    <t xml:space="preserve">1.会正确使用“我们”、“您们”、“他们”。
2.会用“还”、“也”、“以后”、“只好”等词句。
3.会接熟悉的语句或故事。
4.会说1000个(或多个)左右的词。
5.能说出15种(或多种)颜色名称。
6.所有孕母在3岁前已发展出来。
7.声母b、p、m、d、t、n、g、k、h已发展出来。
8.会说6-8个(或多个)字的句子。
9.会用几个“形容词”。
10.会说出物品的用途。
11.示范下模仿画圆形。
12.示范下模仿画十字。
13.出示图片表示需求。
</t>
  </si>
  <si>
    <t xml:space="preserve">1.踢球。
</t>
  </si>
  <si>
    <t xml:space="preserve">1.灵活原地双脚跳。
2.灵活沿直线跪走。
</t>
  </si>
  <si>
    <t xml:space="preserve">1.(M2S3)被动扶持衣领及高跪姿摆位下，可任务诱导(镜像模仿)维持中线向前跪走3步的活动发育。
2.2.8(M3S3)独立高跪姿摆位下，可任务诱导(镜像模仿)维持中线向前跪走3步的活动发育。
3.2.9(M3S3)独立高跪姿摆位下，可任务诱导(镜像模仿)自主独立向后跪走3步的活动发育。
4.(M3S3)双手携物及高跪姿摆位下，可任务诱导(镜像模仿)自主独立向前跪走3步的活动发育。
5.(M3S3)双手携物及高跪姿摆位下，可任务诱导(镜像模仿)自主独立向后跪走3步的活动发育。
6.(M3S3)双手携物及跪坐姿摆位下，可任务诱导(镜像模仿)自主独立向前跪坐走3步的活动发育。
</t>
  </si>
  <si>
    <t xml:space="preserve">1.使用剪刀，可剪断15公分的纸。
2.能将8块积木迭高。
3.能将9块积木迭高。
4.会旋开瓶盖。
5.脱下内裤。
6.穿上没有鞋带的鞋子。
7.用粗绳子穿木珠。
8.穿袜子。
9.可以接住一个大球。
</t>
  </si>
  <si>
    <t xml:space="preserve">1.能主动问候熟悉的人。
2.主动找小朋友玩但不会合作。
3.对幼小孩子会保护。
4.无法继续玩玩具(或无法继续读绘本)或参与活动会哭。
5.当被问到谁是(孩子的名字)时会指认镜子中的自己。
6.会告状。
</t>
  </si>
  <si>
    <t xml:space="preserve">1.能在两个不感兴趣的活动中做出选择。
2.逐渐希望得到父母喜爱。
3.能忍受饥饿或口渴等生理需求。
4.知道自己的年龄。
5.能注意性别的不同。
</t>
  </si>
  <si>
    <t xml:space="preserve">1.快乐也可以分化发展出喜悦。
2.对他人的情感做出反应。
3.当被问到你叫什么名字时,会回答(认识自我)。
4.能正确描述自己(了解自我)。
</t>
  </si>
  <si>
    <t xml:space="preserve">1.能注意到内心思想与外部事件的差异(知道别人不见了是去别的地方，而不是消失)。
2.能专注与游戏5-10分钟。
</t>
  </si>
  <si>
    <t xml:space="preserve">1.能记住家里(或手机)的电话号码。
2.能唱一些儿歌，试着背一些简单的唐诗。
3.出现背诵，能熟练地背1-2首唐诗。
</t>
  </si>
  <si>
    <t xml:space="preserve">1.理解一些礼貌用语(如:谢谢、你好、再见)。
2.知道“大”、“小”知道圆、方、三角形。
3.知道大人和小孩的区别，也知道小盒子可以放在大盒子里。
4.对多和少的概念非常明确了。
5.知道“上、下”，比较多少、长短。
</t>
  </si>
  <si>
    <t xml:space="preserve">1.有简单的是非观念，知道打人不好。
2.能在游戏中实验因果关系(如：玩踩气球时，球会破)。
</t>
  </si>
  <si>
    <t xml:space="preserve">1.了解〝上〞下〞〝里面〞旁边〞等位置观念。
2.知道在什么场合通常做什么事。
3.理解常用词汇300个(多个)左右。
4.知道〝明天〞指的不是〝现在〞。
5.会回答〝谁在做什么〞的问句。
</t>
  </si>
  <si>
    <t xml:space="preserve">1.发展出完整句(简单句→复杂句→复合句)。
2.会问“这是什么？”。
3.会问“谁”、“哪里”、“做什么”等句子。
4.会用且说“这个”“那个”等句子。
5.能在指定范围内涂鸦。
</t>
  </si>
  <si>
    <t xml:space="preserve">1.蹲站交替动作时不需他人协助。
</t>
  </si>
  <si>
    <t xml:space="preserve">1.灵活小跑步。
2.原地双脚跳。
3.沿直线跪走3步。
4.半跪姿双手可掷出小球。
</t>
  </si>
  <si>
    <t xml:space="preserve">1.(M2S3)双手自主扶持高位固定物品及站立姿摆位下，可任务诱导(镜像模仿)双下肢交替抬脚3下
2.(M2S3)双手扶持高位移行物品及站立姿摆位下，可任务诱导(镜像模仿)双上肢自主推行物品向前
3.(M2S3)双手扶持低位移行物品及高跪姿摆位下，可任务诱导(镜像模仿)自主推行物品向前跪走3
4.(M2S3)各单手自主扶持高位固定物品及站立姿摆位下，可任务诱导(镜像模仿)双下肢交替抬脚3下
5.(M2S3)被动扶持衣领及站立姿摆位下，可任务诱导(镜像模仿)维持中线向前行走3步的活动发育。
6.2.7(M2S3)各单手被动扶持站立姿摆位下，可任务诱导(镜像模仿)维持中线向前行走3步的活动发育。
</t>
  </si>
  <si>
    <t xml:space="preserve">1.惯用手已形成。(右手；左手)
</t>
  </si>
  <si>
    <t xml:space="preserve">1.用双手转门把。
2.脱下未扣扣子的外套。
3.用一手转门把。(右手；左手)
4.脱下裤子。
5.可一页一页的翻薄书。(右手；左手)
</t>
  </si>
  <si>
    <t xml:space="preserve">1.能将5块积木迭高。
2.能将6块积木迭高。
3.能将7块积木迭高。
4.可上下左右涂圈圈。
5.模仿画圆形线条。
6.将三角形嵌入洞内。
7.上玩具发条。
8.拉下拉链。
9.剥开糖果包装纸。
10.照样本,画横线。
</t>
  </si>
  <si>
    <t xml:space="preserve">1.被欺负时会设法抵抗或还手。
2.对其他孩子会表示同情或安慰。
3.会有时黏着大人，有时推开大人不要大人管。
4.会为其他人表演。
5.和其他孩子牵手或自动到外面玩。
6.会拒绝喂食的协助。
7.与人对话时转换注视(会随着说话人转换注视的方向)。
8.会笑自己或别人的好笑动作。
9.发怪声或做奇怪的动作引别人笑。
10.会自发与同伴分享物品或食物。
11.会表达感谢。
12.会主动和大人互动。
13.会在要求下捡玩具。
14.会愿意与人合作。
15.会表达要或不要。
16.模仿做家事。
17.在探索环境时，会用口语或其他方式(如：拉大人)寻求大人协助。
18.用口语来表达饥饿或口渴等生理需求。
19.会用抓住大人手或其他方式，要求大人注意。
</t>
  </si>
  <si>
    <t xml:space="preserve">1.当觉得安全时，会探索一个新的环境。
2.会用一个字(或发音)表达情绪。
3.会帮忙做一些简单家事。
4.会选择要的玩具。
5.有简单是非观念。
6.能短暂等待不哭闹。
7.知道在某些地方从事某活动。
8.知道家庭每天固定的作息(生活常规的建立)。
9.会用手势表达需要。
10.能在两样物品中做出选择。
11.能观察同伴(如：看别的小朋友玩)。
</t>
  </si>
  <si>
    <t xml:space="preserve">1.有被伤害的意识。
2.出现最初的憎恨和爱。
3.可通过一些外部特征认出自己(年龄、性别)。
4.当被问到是谁(孩子的名字)时，会指向自己。
5.意识到自己和他人不同。
6.会摸镜中自己的形象。
7.会正确描述自己身体部位。
8.参与小朋友游戏和对环境探索意愿增高。
</t>
  </si>
  <si>
    <t xml:space="preserve">1.能集中注意看电视15分钟左右,且已无意识注意为主。
2.能发现并注意到身边的新物品，对周围事物兴趣进一步增强。
3.能模仿划船等更复杂的动作。
4.能模仿大人画出线条、圆圈、尽管画得不到位。
5.能独立玩玩具(或其他喜好物品)15分钟。
</t>
  </si>
  <si>
    <t xml:space="preserve">1.能听讲熟悉的故事，唱熟悉的儿歌。
2.能记住生活中东西放的地方。
3.看到熟悉的图片(如：小鸭子、小兔子、苹果等能叫出名字)。
4.能记住自己床的位置以及厕所的位置。
5.能记住5个步骤的顺序。
</t>
  </si>
  <si>
    <t xml:space="preserve">1.认识日常吃的食物、所用的餐具、玩具以及常用的交通工具。
2.能用“你、我、他”这些人称代词。
3.能用副词“现在”“一点儿”“特别”来更准确的表达自己的意思。
</t>
  </si>
  <si>
    <t xml:space="preserve">1.能解决简单的因果关系问题。
2.找到在看不见的时候移走的物体。
3.能从环境线索来推论一件事(如:看到妈妈拿起包时，就知道妈妈要出去了)。
</t>
  </si>
  <si>
    <t xml:space="preserve">1.会自己吃、喝、吸管喝水。
2.舌头舔嘴唇。
3.不流口水。
</t>
  </si>
  <si>
    <t xml:space="preserve">1.能理解一般问话(如：那是什么？)。
2.了解动词+名词的句子(如：丢球)。
3.理解“我”并会用。
4.知道玩伴的名字。
5.能听懂最简单的故事。
6.会按指示办事(连续的3件)。(简单的指令听从能力)
7.在照片中可指认熟识的人。
8.认得出电视上常见之物。
</t>
  </si>
  <si>
    <t xml:space="preserve">1.开始出现了由双词或三词组合在一起的语句(即：电报句)。
2.会说谢谢，会用言语要求别人做什么。
3.说出身体部位(2-3个)。
4.会回答最简单的问题。
5.会用在人、食物、玩具上的形容词、副词。
6.会重复句子的最后两个字。
7.会说3-5个字句子。
8.会回答生活上的问题。
9.听完故事后，能说出讲的是什么人、什么事。
10.示范下模仿画直线。
11.示范下模仿画横线。
</t>
  </si>
  <si>
    <t xml:space="preserve">1.优势手出现。
2.手肘弯曲往前用力掷出小球给对方。
3.自己拿杯子喝水，汤勺进食。
4.能了解并做出一般社交性的动作，如：亲亲、抱抱的。
5.知道自己身体的位置及身体各部位的功能。
6.双侧做不同方向动作。
7.会想办法拿物品。
8.两侧协同分工合作完成操作(主手、副手)。
9.小跑步时协调(已具备稳定的行走姿态)。
</t>
  </si>
  <si>
    <t xml:space="preserve">1.双手、双膝爬阶梯两阶(出现攀爬)。
2.长坐姿转头可维持平衡。
3.手伸到头上方掷出小球，能维持身体平衡。
</t>
  </si>
  <si>
    <t xml:space="preserve">1.(M2S2)双手自主扶持高位固定物品摆位下，可情境诱导维持中线站立姿2秒的姿势发育。
2.(M2S2)双手自主扶墙面及高跪姿摆位下，可情境诱导双上肢交替玩弄墙面物品3下的
3.2.6(M2S2)跪坐姿摆位下，可情境诱导独立维持中线高跪姿2秒的姿势发育。
4.(M2S2)独立高跪姿摆位下，可情境诱导双上肢交替玩弄前方物品3下的活动发育。
</t>
  </si>
  <si>
    <t xml:space="preserve">1.同时在中线使用双手。
2.一手拿东西一手操作。
</t>
  </si>
  <si>
    <t xml:space="preserve">1.掷小皮球给对方。
2.拿杯子喝水。(右手；左手)
3.抓握笔涂鸦。
4.抓握笔画直线。(右手；左手)
</t>
  </si>
  <si>
    <t xml:space="preserve">1.反复放置同一根插棒。
2.将三根小木棍插入有孔板中。
3.将圆形、正方形积木放在相同形状的凹洞。
4.会打开盒子。
5.能伸手到容器内取物。
6.能将2块积木迭高。
7.能将3块积木迭高。
8.能将4块积木迭高。
9.将正方形几何积木嵌入洞内。
10.可将物品放入横向的洞。
11.可穿3个珠珠。
</t>
  </si>
  <si>
    <t xml:space="preserve">1.会主动拿物品给人。
2.对同伴的动作或口语有反应(如：会停止活动或注意)。
3.会接近大人。
4.能给大人一个吻。
5.加入小孩群体中时会很高兴。
6.能辨别父母脸上认可或不认可的表情(如：父母皱眉头表示不行)。
7.会寻找不见的父母(如：会一直问父母在哪里)。
8.偶而在集体中玩，会等待不吵闹。
9.会对睡觉抗拒，怕与大人分开。
</t>
  </si>
  <si>
    <t xml:space="preserve">1.坚持要自己吃东西。
2.会短暂离开大人视线。
3.散步时能注意路上东西。
4.睡觉要抱心爱玩具(或其他喜好物品)。
</t>
  </si>
  <si>
    <t xml:space="preserve">1.痛苦又可分化发展出嫉妒。
2.能用单词(或发音)表达情绪。
3.发展出害羞和挑战。
4.知道他人的情绪可能和自己情绪有所不同。
5.会对自己有正向性评价。
</t>
  </si>
  <si>
    <t xml:space="preserve">1.有趣事物的注意力可达5-8分钟。
2.能模仿翻书页。
3.能模仿做游戏和擦桌子，可以和大人边做事边玩。
4.能模仿拍手、踏脚、学鸟飞等动作。
</t>
  </si>
  <si>
    <t xml:space="preserve">1.能记住日常接触的动物、人、玩具的名称，包括亲人的名字。
2.能记住动画片中的部分内容(记得最清楚的是人物的名字)。
</t>
  </si>
  <si>
    <t xml:space="preserve">1.能听懂近50个常用词(如：车、船、房子、花、鸟、树等)。
2.能分辨狗和猫的差异，卡车和公共汽车的差异。
3.认识并正确指认经常接触的动物、玩具,以及自己的五官和四肢。
</t>
  </si>
  <si>
    <t xml:space="preserve">1.能依物体性质进行活动尝试错误，并积累经验减少错误。
2.能够根据物品的用途给物品配对。
</t>
  </si>
  <si>
    <t xml:space="preserve">1.舌头可舔唇上的食物。
2.可咀嚼煮得很烂的肉。
3.可能会咬住杯子保持下颌稳定。
4.吸奶、吞咽、呼吸配合很好。
5.咀嚼时上下唇可以闭住不打开。
6.下颌稳定度发展，随食物软硬控制咬的力量。
7.可用汤匙或手吃的津津有味，成熟的咀嚼动作可软硬都吃。
8.舌头、嘴唇可以独立动作。
</t>
  </si>
  <si>
    <t xml:space="preserve">1.了解50个单字(理解但不能主动说出)。
2.知道大部份物品的名称。
3.在要求下，会指出熟悉的东西。
4.会遵从简单的指示。
5.了解一般动作(如：亲亲/抱抱)。
6.指认常见物。
7.能指认4种动作图片。
8.在图片中指出并说出熟悉的物体。
9.认出照片中的自己。
10.能指实物，辨识图形(圆/方)。
</t>
  </si>
  <si>
    <t xml:space="preserve">1.以手势+动作+单字来表达。
2.开始说出有意义的单词,多用同一迭词在不同的情境表示几种不同的意思。
3.单音重迭一词多义以词代句。
4.名词多,动词少。
5.会模仿听过的声音/话语。
6.能说出自己的名字(不带姓)。
7.会哼哼唱唱。
8.主动说出50-100个(多个)左右的词。
9.模仿日常动作以动作反应。
</t>
  </si>
  <si>
    <t xml:space="preserve">1.视觉对比敏感度，达到成人水平。
2.会持续注视物品的去向。
3.能将图形积木放入积木凹槽内。
4.当他的面把东西藏起来，会去寻找。
5.在注视下把玩具藏起来，过一阵会去寻找。
6.能记住东西摆放的位置。
</t>
  </si>
  <si>
    <t xml:space="preserve">1.听阈值25-35分貝(DB)。
2.听到叫别人的名字会反应。
3.听到大部分物品的名称会反应。
4.听到叫他时会过来(包含滚动、爬行、跪走、走路)。
5.会遵照听到的指令拿玩具给某人。
</t>
  </si>
  <si>
    <t xml:space="preserve">1.把玩具放入口中的机率逐渐减少。
2.触觉和其他感觉联系在一起使用，通过看、听、摸顺利的完成任务。
3.能感觉到或粗略指出被触碰的身体部位。
4.通过不断的触摸，简单理解物品的用法和玩法。
</t>
  </si>
  <si>
    <t xml:space="preserve">1.闭眼后会粗略指出身体部位(头、脚、手等)。
2.扶家具可站立起和行走取物。
3.站立时，脚支撑与平衡身体。
4.把玩具粗略地放入指定的位置。
5.动作模仿-用肢体表示喝水、吃饭(正确使用日常物品)。
6.指尖有力，可撕纸。
7.双侧同向动作敲打，举手。
8.食指伸直按开关，其余手指弯曲。
9.模仿连续拍手。
10.双侧协同灵活操作(用力得当、方向准确)。
11.指尖用力可脱下袜子。
12.会自己喂食。
</t>
  </si>
  <si>
    <t xml:space="preserve">1.熟练爬行保持身体的平衡。
2.自由转移姿势(坐、站、爬等)。
3.可攀物可站起来。
4.站立跨出1步，扑入大人怀中。
5.可跨步行走姿态(用双脚来支撑与维持平衡身体)。
6.由前方将他向后推45度，一或双手向后支撑不致跌倒。
7.转身拿背后的玩具不会失去平衡。
8.独立站立姿1分钟不会失去平衡。
</t>
  </si>
  <si>
    <t xml:space="preserve">1.2.1(M1S2)俯趴及双侧肢体支撑地面摆位下，可情境诱导维持中线四点支撑爬姿2秒的姿势发育。
2.(M1S2)可情境诱导独立维持中线跪坐姿(双手无保护性支撑地面)2秒的姿势发育。
3.(M1S2)可情境诱导独立维持中线长坐姿(双膝伸直)2秒的姿势发育。
4.(M1S2)双手保护性扶持抓握物品摆位下，可情境诱导中线高跪姿2秒的姿势发育。
5.2.2(M2S2)可情境诱导独立维持中线爬行3步的活动发育。
6.2.3(M2S2)双手自主扶持高位固定物品摆位下，可情境诱导维持中線高跪姿2秒的姿势发育。
7.2.4(M2S2)双手扶持高位固定物品摆位下，可情境诱导自主推行物品向前跪走3步的活动发育。
8.(M2S2)独立跪坐姿摆位下，可情境诱导双上肢交替玩弄前方物品3下的活动发育。
9.2.5(M2S2)各单手被动扶持摆位下，可情境诱导维持中线向前跪走3步的活动发育。
10.(M2S2)独立长坐姿(双膝伸直)摆位下，可情境诱导双上肢交替玩弄前方物品3下的活动发育。
</t>
  </si>
  <si>
    <t xml:space="preserve">1.约略出惯用手。(右手；左手)
2.一手握有一物后再拿第二物。
3.会旋转手腕。(右手；左手)
4.用一手抓两样物品。
5.能丢东西。(右手；左手)
</t>
  </si>
  <si>
    <t xml:space="preserve">1.适当的握住蜡笔。
2.模仿拿笔乱涂鸦。(右手；左手)
</t>
  </si>
  <si>
    <t xml:space="preserve">1.会翻厚书一次一页。
2.会推玩小汽车。
3.指尖可持续用力。
4.会悬腕用拇食指取物。
5.会用姆指及食指尖抓小物品。
6.把东西放在容器里。
</t>
  </si>
  <si>
    <t xml:space="preserve">1.会跟着别人的动作，以单纯会的动作或简单的声音做反应。
2.会相互微笑。
3.学走时怕与母亲分开。
4.会模仿成人一些简单手势和语言。
5.当别人笑时，会重复表演(如：敲东西)。
6.能和大人挥手再见。
7.会对别人的警告而抑制自己行为。
8.会学习其他儿童的行为和声音。
9.对大人的逗弄会点头、动嘴、伸舌及摆动身体。
10.见陌生人会害羞。
11.会和其他小孩一起玩。
12.见到陌生人不再惊恐，会依大人吩咐拍手、再见。
13.会牙牙学语回应父母的话。
14.会想动手触摸对方。
15.会在要求下把物品给人。
16.会用情绪与大人沟通(如：用发脾气表达想睡觉)。
17.会出现互动的行为(如：大笑、打手势、模仿)。
18.开始与大人玩平衡游戏。
</t>
  </si>
  <si>
    <t xml:space="preserve">1.会抓别人衣服、玩具。
2.没人管时，会做自己的事。
3.会以手指出要去的地方或东西。
4.会抓汤匙。
5.可拉下头上的帽子。
6.会抱怨失去玩具或与大人分开。
</t>
  </si>
  <si>
    <t xml:space="preserve">1.理解大人脸上的表情是高兴还是生气。
2.快乐又可以分为是高兴还是喜欢。
3.会逃避或接近来调节情绪。
4.感情更丰富，初步有害怕、生气、喜爱、忌妒等情感。
5.能解读他人情绪的讯息以决定自己的行为。
6.移情出现:能对他人的情绪有所认识而共鸣或响应(如：安慰他人)。
7.对镜子感兴趣但对镜中的自我不感兴趣。
8.会通过动作和身体的一致性认出自己。
9.会认识自己是永久存在的，具有稳定、连续的特征。
10.听到名字时，会知道有反应(如：停止活动注意听)。
11.对镜中自我形象很感兴趣。
</t>
  </si>
  <si>
    <t xml:space="preserve">1.对感兴趣的事物会长时间的观察。
2.能准确判断声源的方向，并用两眼看声源。
3.出现摆弄物品。
4.在听到一段音乐之后能模仿一些事，包括模仿动物的叫声。
</t>
  </si>
  <si>
    <t xml:space="preserve">1.能认识属于自己的玩具、衣物。
2.能找到家里的常见东西(如：电视机在哪里？)。
3.能记住短小的故事，但往往是机械式的无意识记忆。
4.能记得几天前的事。
</t>
  </si>
  <si>
    <t xml:space="preserve">1.大约能听懂20个字左右。
2.能将词音与具体事物联系起来。
3.能准确分辨“红、绿、黄、蓝”四色。
4.知道常见物品的名称并会指认。
5.能听懂“拿”“坐”“给”等动词。
</t>
  </si>
  <si>
    <t xml:space="preserve">1.能够寻找隐藏起来的物品。
2.开始建立时间、空间和因果关系(如：看到倒水盆里就知道等待洗澡)。
3.可以用类推来解决问题(即取得来自一个问题的策略然后把它应用于其他相关的问题)。
4.拿掉积木的盒子玩积木。
</t>
  </si>
  <si>
    <t xml:space="preserve">1.舌头有旋转动作。
2.咀嚼能力增强。
3.吸奶、吞咽、呼吸配合进步，咬软食控制好些。
4.嘴唇闭合能力成熟维持紧闭。
5.稳定地控制喝水速度。
6.喝水有进步，因下颌的稳定性仍不够，要么就张口很大要喝水，要么就是口腔开合困难不好喝水
</t>
  </si>
  <si>
    <t xml:space="preserve">1.听懂常见物及人的名称。
2.叫他时会过来(包含滚动、爬行、跪走、走路)。
3.听得懂不可以、不行、不要等意思。
4.向他索取东西时，知道给。
5.认识常见物。
6.能看懂一些简单的动作或手势，而有所反应。
7.可以看图认字活动。
8.可从书中认识图画和颜色。
</t>
  </si>
  <si>
    <t xml:space="preserve">1.能发出同一音节的不同音调即二声、三声、四声。
2.能模仿发音。※初期萌芽的模仿能力。
3.语音和具体物链接有一定意思。
4.能模仿动物的叫声。※初期萌芽的模仿能力。
5.有意识的发几个字音，出现难懂的话。
6.能用食指指物。
</t>
  </si>
  <si>
    <t xml:space="preserve">1.认识家人(主要照顾的几人)。
2.可从大照片中认出妈妈。
3.开始对陌生人出现怕生害羞的反应。
4.随着大人的视线或手势，而注意某人或物。
5.会用手指要去的方向。
6.会找藏在手帕正下方的玩具。
7.面对陌生人会害羞、害怕。
8.会主动拿着手帕玩躲猫猫的游戏。
9.仰躺抬头巡视四周。
10.前方有玩具会准确伸手取拿(实物)。
11.看到喂食时有张口期待的反应。
12.以各种可能的移位方式，到达目的拿自己想要的东西。
13.能跟别人一起玩滚球、拍气球等。
14.挥手表示再见(动作模仿)。
15.面对陌生大人会害羞怕。
</t>
  </si>
  <si>
    <t xml:space="preserve">1.听阈值35-40分貝(DB)。
2.会模仿发某些音。
3.寻找侧面、下面的声源。
4.放在耳边较少声音会寻找。
5.对动物叫声、车声、下雨声表示关心。
6.隔壁传来声或远处呼唤他的名字可立即转头。
7.无意听到某种声会尝试模仿发音。
8.听到熟悉的声音、语汇会反应(人物、吃的、玩具等)。
9.模仿发简单熟悉的声音。
</t>
  </si>
  <si>
    <t xml:space="preserve">1.身体、双手与嘴共同感觉周围环境。
2.出现四处爬行感觉。
3.出现手掌到处探索摸、玩。
4.出现手握挤、转物品感觉。
5.触觉感觉，用手指指尖操作(夹、捡、撕等活动)。
6.区分冷热(吃过冷与过热的奶、水时会哭)。
7.尿湿时会哭(区分干湿)。
8.对轻拍或拥抱等安抚性刺激，会表现愉悦的感觉。
</t>
  </si>
  <si>
    <t xml:space="preserve">1.出現扶着跪，腿有力的跪立。
2.手腕会旋转。
3.会抓放东西(用力、方向适当)。
4.能自如的释放手中之物或掷出手中之物。
5.能自己拿东西吃。
6.会把简单的东西组合起来。
7.一手支撑一手拿东西，双手做不一样动作。
8.手部协调活动，交换拿东西。
9.双手拿物品互相敲击。
10.双手双膝支撑(四点)爬行。
11.用手指着远方物体，想办法移动身体去拿。
12.模仿做简单的动作。
13.手腕与手指独立动作。
14.配合穿衣。
15.肢体表达：手指、手遮、手挥。
</t>
  </si>
  <si>
    <t xml:space="preserve">1.灵活由仰卧转换成俯卧姿。
2.灵活的翻滚动身体达到移位的目的。
3.灵活从躺姿翻转成坐姿。
4.灵活爬行移位拿东西。
5.灵活从仰或俯卧姿翻身坐起，转换趴姿或爬姿。
6.坐左右晃的电动车保持头直立。
7.失去平衡时出现自我保护反应，会伸手预防自己倒下。
8.由背后往后拉倾斜，会将头及手向前以取得身体平衡。
9.坐姿双手玩玩具时，能维持坐姿平衡。
</t>
  </si>
  <si>
    <t xml:space="preserve">1.1.7 (M0S2)盘坐姿势摆位下，可情境诱导双上肢协同支撑地面2秒的姿势发育。
2.1.8 (M0S2)跪坐姿势摆位下，可情境诱导双上肢协同支撑地面2秒的姿势发育。
3.1.9 (M1S2)可情境诱导独立维持中线平面椅具(无靠背)2秒坐立姿的姿势发育。
4.1.10(M1S2)下半身俯趴楔形垫及双上肢支撑地面摆位下，可情境诱导双上肢交替玩弄物品3下的活动
5.1.11(M1S2)双手部被动扶持摆位下，可情境诱导中线站立姿2秒的姿势发育。
6.1.12(M1S2)双手部被动扶持摆位下，可情境诱导中线高跪姿2秒的姿势发育。
7.(M1S2)双上臂被动扶持摆位下，可情境诱导向前跪走3步的活动发育。
8.1.13(M1S2)双手部被动扶持摆位下，可情境诱导向前跪走3步的活动发育。
9.(M1S2)俯趴地面摆位下，可情境诱导双上肢协同支撑地面2秒的姿势发育。
10.1.14(M1S2)俯趴地面摆位下，可情境诱导双上肢交替支撑地面并向后坐立起1下的活动发育。
</t>
  </si>
  <si>
    <t xml:space="preserve">1.具备手眼协调能力。
2.将玩具由一手移至另一手。
3.用拇指、食指、中指和手掌抓住较小东西。
4.自己拿饼干吃。
5.用拇指、食指和中指抓拿东西。
6.能控制释放手中物，掷出手中物。
7.用姆指和食指的内侧面取物。
8.手指和手腕能独立做动作。
9.双手各自玩玩具，相互敲打。
10.手腕可稍向上翘。
11.连续拍掌3次。
12.能依物品重量大小调整抓握能力。
</t>
  </si>
  <si>
    <t xml:space="preserve">1.用一手抓纸揉成一团。
</t>
  </si>
  <si>
    <t xml:space="preserve">1.在知道物体的方向，不用眼看可拿到物。
</t>
  </si>
  <si>
    <t xml:space="preserve">1.出现喜欢熟人，但无区分的接受所有人的关注。
2.当陌生人靠近会哭或转开。
3.会玩躲猫猫。
4.当大人要拿走玩具时，会表现出抗拒(如：抓住不放)。
5.会寻求自己喜欢的人接近与接触。
6.看到陌生人时，会显示强烈的依赖母亲。
7.当看到照顾者离开，会注意及发出声音。
8.当听到名字时会转头注视及笑。
</t>
  </si>
  <si>
    <t xml:space="preserve">1.陌生环境离开父母时会哭及寻找。
2.会设法取较远的玩具。
3.会摸镜中自己的影像。
</t>
  </si>
  <si>
    <t xml:space="preserve">1.发展出高兴和愤怒。
2.发出不同情绪的声音。
3.会恐惧陌生人。
4.对自己和他人的区分更加巩固。
</t>
  </si>
  <si>
    <t xml:space="preserve">1.注意的范围更广，会把注意力集中到他感兴趣的玩具和事物上。
2.能随物体上下，左右移动。
3.开始厌烦做熟悉的事情，转向未知领域。
4.可以模仿大人的声音。
5.可以坐在地板上专心致志地玩自己感兴趣的玩具。
</t>
  </si>
  <si>
    <t xml:space="preserve">1.具备物体的恒存性，能意识到看不见的物体依然存在。
2.能够辨别人物面孔的细微的差别。
3.视觉记忆提高，喜欢认图片。
4.能记住父母重复多次的讲话或动作。
5.能模仿24小时之前看到的某个榜样。
</t>
  </si>
  <si>
    <t xml:space="preserve">1.懂得“不”字的概念。
2.能辨别物体大小、形状及移动速度。
3.能区别简单的几何图形，观察物体的不同形状。
4.可以认识自我，以及自己与别人的不同(自我意识萌芽)。
5.如果让婴儿对着镜子照一会儿，然后将红颜色涂在他的鼻子上，婴儿会摸自己的鼻子。
6.对上升和下降的概念有初步的了解。
7.能够大概指认自己的五官。
8.有了最初的自我意识萌芽(尚未精熟的动作认知)。
</t>
  </si>
  <si>
    <t xml:space="preserve">1.发展出有意的手段—目的行动序列。利用他们来解决简单的问题(如拉一块布来获得放在它远端的玩具)。
2.理解大人面部表情。
3.出现用新方法玩玩具(或玩其他类似物品)。
</t>
  </si>
  <si>
    <t xml:space="preserve">1.唇紧闭，水杯喝水不漏水。
2.舌头灵活，咀嚼固体食物及饼干。
3.口腔动作已较能控制，双唇会从汤匙上抿下食物。
4.舌头已是成熟的上下动方式但咀嚼仍不协调。
</t>
  </si>
  <si>
    <t xml:space="preserve">1.对简单的要求有适当的反应(如：吃、挥手再见)。
2.听懂成人语言并配合辨别语调表情的判断(配合情景)。
3.记忆能力加强以了解字义。
4.能听懂几个字，包括自己的名字及家庭成员的称呼。
5.能区分肯定句与问句的语气。
6.认识家人。
7.可以从照片中认出妈妈。
8.随着大人的视线或手势，注意某人或某物。
9.理解大人表情。
</t>
  </si>
  <si>
    <t xml:space="preserve">1.说出第一个单字，看人连结成bɑ、mɑ。
2.有意图的非口语的语词行为。
3.会发出咳嗽声、咕噜声、尖叫。
4.能模仿他人的脸部表情、动作和声音。※初期萌芽的模仿能力。
5.以动作要求抱。
6.以注视、及寻找物品的方式表达所要的东西。
</t>
  </si>
  <si>
    <t xml:space="preserve">1.看到东西会伸手拿。
2.看不到人时会哭，看到人时停止哭。
3.对四大类别色彩光谱有感觉(红、蓝、绿、黄)。
4.看30公分距离外，上下左右移动物品。
5.到陌生地方会好奇四处张望。
6.拿玩具给他显得高兴活泼起来。
7.寻找掉落的东西。
8.出現玩躲猫猫的游戏。
</t>
  </si>
  <si>
    <t xml:space="preserve">1.听阈值40-50分貝(DB)。
2.对他的名字有回应。
3.辨识父母的声音。
4.听到逐渐接近的脚步声而兴奋。
5.可听出熟悉声音中的改变。
6.头会迅速转向声源。
7.对他说话时，尝试模仿发音反应。
8.听到叫自己名字有反应。
</t>
  </si>
  <si>
    <t xml:space="preserve">1.双手与嘴共同来感觉周围环境。
2.口腔接受半流质的食物。
3.双手愿意各自抓住物品，并放入口中感觉。
4.双手互相的搓、捏着玩、吸吮双手。
5.吃手吃脚。
6.可吃软食、饼干等。
7.出现伸手拿玩具玩。
8.触摸不同形状、不同质感的物品。
9.咬玩具。
10.出现将玩具放入口中。
</t>
  </si>
  <si>
    <t xml:space="preserve">1.玩手、玩脚。
2.口腔爱咬玩具。
3.手、嘴和眼睛相互配合探索自己的身体、玩具、周围环境。
4.双手抱住自己的脚。
5.尝试蠕爬,原地打转。
6.双手各自自主的张开手拿玩具。
7.手中握玩具15秒。
8.双手握杯自己喝奶。
9.吸奶时不会漏奶(双唇力气)。
10.拍手时双手能在中线互碰。
11.手的旁边放有物品，会去拿(如：摇铃)。
12.放下手中之物，换拿另一物。
13.一手握有物品，会用另一手去拿另一物品。
</t>
  </si>
  <si>
    <t xml:space="preserve">1.看到东西会伸手拿(与空间概念有关连)。
2.趴着时，会一手撑上半身重量，另一手伸向玩具，玩玩具。
3.拿着玩具敲敲打打，会摇铃。
4.撑住他的背部，头部直立并可以转头。
5.俯趴摆位，双手肘协同支撑观看前方喜好物品或视频。
6.俯趴摆位，双上肢协同支撑观看前方喜好物品或视频。
</t>
  </si>
  <si>
    <t xml:space="preserve">1.1.3(M0S2)俯趴摆位下，可情境诱导自主从俯趴姿势至仰躺姿势翻身1下的活动发育。
2.1.4(M0S2)仰卧摆位下，可情境诱导自主从仰躺姿势至俯趴姿势翻身1下的活动发育。
3.1.5(M0S2)俯趴摆位下，可情境诱导双手肘协同支撑地面2秒观看前方喜好物品或视频的姿势发育。
4.1.6(M0S2)腹部及下半身俯趴楔形垫摆位下，可情境诱导双上肢协同支撑地面2秒的姿势发育。
5.(M0S2)俯趴地面及抬头观看前方视频摆位下，可情境诱导双手肘协同支撑地面2秒的姿势发育。
6.(M0S2)双手肘协同支撑地面摆位下，可情境诱导双上肢交替玩弄前方物品3下的活动发育。
</t>
  </si>
  <si>
    <t xml:space="preserve">1.看手抓东西，取物入口。
2.用无名指、小指和手掌抓住东西。
3.两手可各自抓物。
4.用姆指以外的四指和手掌抓住东西。
5.会敲打玩具。
6.用姆指、食指、中指和手掌抓住较大的东西。
7.手抓脚放在口中。
</t>
  </si>
  <si>
    <t xml:space="preserve">1.看物伸手触摸。
2.伸出手时会准确的碰触物体。
3.物体在视野内会跨中线取物。
</t>
  </si>
  <si>
    <t xml:space="preserve">1.婴儿会相互注视甚至触摸，但视人如物且更喜欢物体。
2.主动伸手要喜欢的人抱。
3.看到人有反应(如高兴、笑、出声等)。
4.有人靠近会表现出很高兴。
5.听到熟悉人的脚步声会减少哭。
6.对人有不同的反应。
7.会注视与其说话的人。
8.听到大人生气的声音会哭。
9.会和同伴相互触摸、观望。
10.会分辨父母与其他人。
11.会对熟悉的人伸出手。
12.抓痒、抱或语言游戏时会笑。
13.对大人的笑脸会以笑回应。
14.注视大人离开或房间走动。
15.对熟悉的人比对陌生人有更多的反应。
16.会制造声音、笑、眼神接触或身体语言来吸引注意。
17.听到说话会转向说话者。
18.对熟悉人较常出声笑及要求抱。
19.期待有人与他亲近(如：抱他)。
20.做出吸引别人注意的事。
21.会比大人先笑。
22.婴儿间彼此微笑和发出“呀呀”声音。
23.会主动摸熟悉大人的脸。
24.此时最爱与人交往。
</t>
  </si>
  <si>
    <t xml:space="preserve">1.个人或在陌生环境时会哭。
2.会对镜子中的影像笑。
3.会注意其他孩子的存在。
4.会用注视、抓或语言表达对玩具或物品的兴趣。
</t>
  </si>
  <si>
    <t xml:space="preserve">1.能根据外界事物作出相应的表情。
2.会转移专注力以调节情绪。
3.会主动笑。
4.发展出担忧的情绪。
5.痛苦的情绪会发展出，有害怕，厌恶，愤怒，悲伤，恐惧。
6.听懂自己名字。
7.自我意识开始发展。
8.会自己拿饼干吃。
</t>
  </si>
  <si>
    <t xml:space="preserve">1.对周围玩具和物品会表示出浓厚的兴趣。
2.开始出现主动的视觉集中。
3.手中玩具掉了会寻找。
4.听到妈妈叫自己会努力的用眼睛去寻找。
5.会模仿爸爸妈妈的表情。
</t>
  </si>
  <si>
    <t xml:space="preserve">1.能识别妈妈和面容熟悉的人以及经常玩的玩具。
2.能够记住父母的行为方式，并会受到不良刺激的影响。
3.能觉察到玩具被别人拿走(而4-5个月时不能觉察少什么)。
4.能逐渐记住简单的事情，不提醒也可以重复相同的步骤。
</t>
  </si>
  <si>
    <t xml:space="preserve">1.对物体开始有完整的概念，当他看到一只手从沙发后伸出来时，就知道沙发后有人。
</t>
  </si>
  <si>
    <t xml:space="preserve">1.对生气或大声有反应(如：会哭)。
2.辨别陌生人能力加强。
3.有东西挡着自己视线时会试着拿开。
4.能理解大人对自己说话的态度。
</t>
  </si>
  <si>
    <t xml:space="preserve">1.脸颊与嘴唇的肌肉控制能力有明显进步。
2.舌头仍以前后动为主，咀嚼动作仍不成熟。
3.看汤匙进入口中，舌头会吮动。
4.吸奶、吞咽还不行，有时会吐。
5.口腔动作仍是反射动作—流口水、牛奶溢出、哽呛动作不协调。
</t>
  </si>
  <si>
    <t xml:space="preserve">1.新生儿受到刺激时触觉敏感反射。
2.碰到嘴边有吸吮反射。
3.头转向被触碰的脸颊方向。
4.碰到手心时会自动抓握。
5.手背被抚摸,手掌短暂打开。
6.唇部触觉发展。
7.用嘴来感觉周围环境。
8.手抓到任何东西都会放入口中(如安抚奶嘴)。
9.吸吮自己双手(拳头、手指头)。
</t>
  </si>
  <si>
    <t xml:space="preserve">1.趴着时会有爬的动作。
2.抱直立时，脚触及平面出现踏步反射。
3.刺激嘴边，有吸吮反射。
4.刺激眼、额头，有双眼紧闭。
5.刺激手掌，有握拳。
6.刺激脚底，有缩脚。
7.会注意自己的双手。
8.感受自己身体和重力的感觉(身体歪斜会拉回来，并可以维持平衡寻找支点)。
9.会抓握物品(摇铃)维持15到30秒，但抓放不自如。
10.手通常张开，手碰到东西会抓握，不能主动放松。
11.双手抓物品放入口中。
12.欲伸手抓面前物体时，能准确触摸。
</t>
  </si>
  <si>
    <t xml:space="preserve">1.新生儿对于被忽然移动有明显的感觉并出现反射动作。
2.感受到自己身体顺应重力刺激的抗拒感觉(偏离身体重力中线时)出现不自主的保护性反射动作。
3.平稳且节律性的摇晃动作感到舒服。
4.对于被动扶持的上、下摇晃动作感到兴奋。
5.仰躺时，抗地心抬头45度约1-3秒。
6.趴姿下，抗地心抬头。
7.翻身时会抬头、挺胸。
8.扶持双肩坐立时，头颈可直立(不垂头)。
</t>
  </si>
  <si>
    <t xml:space="preserve">1.手因抓握反射而握拳。
2.抚摩手背，手掌会短暂打开。
3.手拿到嘴里吸。
4.可维持较长抓握。
5.手掌大致都张开，抓握反射消失。
6.两手在中线碰在一起。
</t>
  </si>
  <si>
    <t xml:space="preserve">1.眼睛会注视手。
</t>
  </si>
  <si>
    <t xml:space="preserve">1.当被抱起时会安静或停止哭闹。
2.注视的人离开会哭。
3.对人无差别反应。
4.用哭、微笑、咿呀语等来获取父母或照顾者的亲近。
5.听到说话或摇晃时，会安静。
6.对陌生人退缩。
</t>
  </si>
  <si>
    <t xml:space="preserve">1.拍打镜中影像。
2.当看到、摸到奶瓶时会安静。
3.会用不同的哭来表达需求。
4.会注视别人。
</t>
  </si>
  <si>
    <t xml:space="preserve">1.只有两种反应：兴奋，安静。
2.会自发的微笑。
3.会哭(惊吓、痛)。
4.发展出两种情绪：愉快、痛苦。
5.会笑出声。
6.对人感兴趣，特别是婴儿。
7.开始区分自己的身体与他人的身体。
</t>
  </si>
  <si>
    <t xml:space="preserve">1.倾向与大而显眼的图案。
2.对红色移动物体比较敏感。
3.除了自发的微笑外，还容易被逗笑。
4.能注视到面前的新鲜事物，并且目光会随其移动。
5.会用眼睛追随走来走去的人。
6.会认真听别人与自己讲话。
7.能持久注视物体。
</t>
  </si>
  <si>
    <t xml:space="preserve">1.能够记住妈妈脸的轮廓。
2.当凝视的物品从眼前消失时会用眼睛去寻找。
3.能记住家人脸的模样。
</t>
  </si>
  <si>
    <t xml:space="preserve">1.能区分不同性质的声音并寻找声源。
</t>
  </si>
  <si>
    <t xml:space="preserve">1.对他人的语音有回应。
2.对他人语调的变化有反应(如：愤怒、嘻笑、悲伤)。
3.对自己的名字有反应。
4.认得妈妈。
5.对友善的脸报以微笑。
6.注视物品。
</t>
  </si>
  <si>
    <t xml:space="preserve">1.自我仿音，能用不同的声音来表达需求。
2.夜间哭声减少。
3.进入呀呀学语阶段，能将辅音和元音结合连续发出（如辅音b和元音a结合连续发出形成bɑ-bɑ-bɑ，mɑ-mɑ-mɑ）类似爸、妈的单音节语音。
4.看见熟人、玩具能发出声音。
5.会喃喃儿语。
6.白天哭声减少。
7.用眼睛寻找。
8.以动作表情与人打招呼。
</t>
  </si>
  <si>
    <t xml:space="preserve">1.视力为0.1,可见30公分内距离的物体,注视距离为1.5米。
2.会注视看30公分对他讲话的人脸。
3.注视距离为4~7米。
4.对亮与暗有视觉反应。
5.对快速到来的物体会眨眼睛。
6.偏好扫视轮廓而非内部(注视大方格，人脸)。
7.认识长期照顾自己的人(妈)。
8.对他吐舌数次模仿类似的动作。
9.扫描物体内部。
10.视觉注视5秒。
11.注视移动中的物体约1-3秒。
12.主动搜寻视觉刺激，好奇看。
13.目光从一个物体移向另一物体。
14.注视自己的手，看手中抓的物品。
15.仰躺时眼睛横向幅度约90度追视。
16.眼睛横向180度追视。
</t>
  </si>
  <si>
    <t xml:space="preserve">1.注意1000到3000赫兹(偏于听高频)的声音,(听阈值60-70DB)。
2.听到突发大声响引发惊吓反应(惊跳或闭眼)。
3.听阈值50-70分貝(DB)。
4.听到温柔声音，安静下来。
5.辨别不同的语调有不同的反应(高兴、生气)。
6.头转向发出声音的声源处听。
7.对他说话时会回应。
8.对他说话时，会以注视微笑、发声等响应。
9.感受不同方向发声并且向声源方向转头。
10.音乐声知觉。
</t>
  </si>
  <si>
    <t xml:space="preserve">1.1.1(M0S2)仰卧摆位时，可情境诱导自主双手、双脚中线不停乱踢3下的活动发育。
2.1.2(M0S2)扶持双肩坐立摆位下，可情境诱导自主头颈中线直立(不垂头)2秒的姿势发育。
</t>
  </si>
  <si>
    <t xml:space="preserve">1.能有节奏吸吮你的手指头或乳头。
2.用手指头或乳头触碰脸颊，头会随着转动。
3.舌头、嘴巴、下巴一起动。
4.舌头简单伸出和收回反射动作进食。
5.舌头以“前后动”的方式来运动，吸一口吞一口。
</t>
  </si>
  <si>
    <t xml:space="preserve">1.注意单音及语调的类型,观察对方嘴巴(对语调反应)。
2.偏爱音乐声、人声。
</t>
  </si>
  <si>
    <t xml:space="preserve">1.哭声，对大噪音有反应（如眨眼、停止一个动作、眼睛到处移动或是一个惊惧的反应）。
2.不同型式的哭声、单一音ɑi、ei、ou。
3.成人逗引时会咿呀发音，笑出声。
</t>
  </si>
  <si>
    <t>双上肢粗大动作</t>
    <phoneticPr fontId="26" type="noConversion"/>
  </si>
  <si>
    <t>本体知觉</t>
    <phoneticPr fontId="26" type="noConversion"/>
  </si>
  <si>
    <t>前庭知觉</t>
    <phoneticPr fontId="26" type="noConversion"/>
  </si>
  <si>
    <t>社会互动</t>
    <phoneticPr fontId="26" type="noConversion"/>
  </si>
  <si>
    <t>五大感知觉发展</t>
    <phoneticPr fontId="26" type="noConversion"/>
  </si>
  <si>
    <t>视知觉</t>
    <phoneticPr fontId="26" type="noConversion"/>
  </si>
  <si>
    <t>听知觉</t>
    <phoneticPr fontId="26" type="noConversion"/>
  </si>
  <si>
    <t>触知觉</t>
    <phoneticPr fontId="26" type="noConversion"/>
  </si>
  <si>
    <t>一般五大感知觉发展</t>
    <phoneticPr fontId="2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</si>
</sst>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新細明體"/>
      <charset val="134"/>
      <scheme val="minor"/>
    </font>
    <font>
      <b/>
      <sz val="16"/>
      <color theme="1"/>
      <name val="黑体"/>
      <family val="3"/>
    </font>
    <font>
      <b/>
      <sz val="12"/>
      <color rgb="FF000000"/>
      <name val="標楷體"/>
      <family val="4"/>
      <charset val="136"/>
    </font>
    <font>
      <b/>
      <sz val="14"/>
      <color rgb="FF000000"/>
      <name val="標楷體"/>
      <family val="4"/>
      <charset val="136"/>
    </font>
    <font>
      <b/>
      <sz val="9"/>
      <color rgb="FF000000"/>
      <name val="標楷體"/>
      <family val="4"/>
      <charset val="136"/>
    </font>
    <font>
      <b/>
      <sz val="14"/>
      <color theme="1"/>
      <name val="新細明體"/>
      <family val="1"/>
      <charset val="136"/>
      <scheme val="minor"/>
    </font>
    <font>
      <b/>
      <sz val="14"/>
      <color theme="1"/>
      <name val="黑体"/>
      <family val="3"/>
    </font>
    <font>
      <sz val="11"/>
      <name val="新細明體"/>
      <family val="1"/>
      <charset val="136"/>
      <scheme val="minor"/>
    </font>
    <font>
      <b/>
      <sz val="16"/>
      <color theme="1"/>
      <name val="標楷體"/>
      <family val="4"/>
      <charset val="136"/>
    </font>
    <font>
      <b/>
      <sz val="14"/>
      <color theme="1"/>
      <name val="標楷體"/>
      <family val="4"/>
      <charset val="136"/>
    </font>
    <font>
      <b/>
      <sz val="12"/>
      <color theme="1"/>
      <name val="標楷體"/>
      <family val="4"/>
      <charset val="136"/>
    </font>
    <font>
      <b/>
      <u/>
      <sz val="11"/>
      <color theme="1"/>
      <name val="標楷體"/>
      <family val="4"/>
      <charset val="136"/>
    </font>
    <font>
      <sz val="11"/>
      <color theme="1"/>
      <name val="Wingdings 2"/>
      <family val="1"/>
      <charset val="2"/>
    </font>
    <font>
      <sz val="11"/>
      <color theme="1"/>
      <name val="標楷體"/>
      <family val="4"/>
      <charset val="136"/>
    </font>
    <font>
      <sz val="12"/>
      <color theme="1"/>
      <name val="標楷體"/>
      <family val="4"/>
      <charset val="136"/>
    </font>
    <font>
      <sz val="11"/>
      <color rgb="FF000000"/>
      <name val="標楷體"/>
      <family val="4"/>
      <charset val="136"/>
    </font>
    <font>
      <b/>
      <sz val="11"/>
      <color theme="1"/>
      <name val="標楷體"/>
      <family val="4"/>
      <charset val="136"/>
    </font>
    <font>
      <sz val="28"/>
      <color theme="1"/>
      <name val="標楷體"/>
      <family val="4"/>
      <charset val="136"/>
    </font>
    <font>
      <sz val="14"/>
      <color theme="1"/>
      <name val="標楷體"/>
      <family val="4"/>
      <charset val="136"/>
    </font>
    <font>
      <sz val="16"/>
      <color theme="1"/>
      <name val="標楷體"/>
      <family val="4"/>
      <charset val="136"/>
    </font>
    <font>
      <b/>
      <u/>
      <sz val="16"/>
      <color theme="1"/>
      <name val="標楷體"/>
      <family val="4"/>
      <charset val="136"/>
    </font>
    <font>
      <u/>
      <sz val="16"/>
      <color theme="1"/>
      <name val="標楷體"/>
      <family val="4"/>
      <charset val="136"/>
    </font>
    <font>
      <u/>
      <sz val="14"/>
      <color theme="1"/>
      <name val="標楷體"/>
      <family val="4"/>
      <charset val="136"/>
    </font>
    <font>
      <sz val="14"/>
      <color theme="1"/>
      <name val="Segoe UI Symbol"/>
      <family val="2"/>
    </font>
    <font>
      <sz val="14"/>
      <color rgb="FFFF0000"/>
      <name val="標楷體"/>
      <family val="4"/>
      <charset val="136"/>
    </font>
    <font>
      <sz val="11"/>
      <color rgb="FF000000"/>
      <name val="宋体"/>
    </font>
    <font>
      <sz val="9"/>
      <name val="新細明體"/>
      <family val="3"/>
      <charset val="136"/>
      <scheme val="minor"/>
    </font>
    <font>
      <sz val="9"/>
      <color indexed="81"/>
      <name val="Tahoma"/>
      <family val="2"/>
    </font>
  </fonts>
  <fills count="7">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7" tint="0.39991454817346722"/>
        <bgColor indexed="64"/>
      </patternFill>
    </fill>
    <fill>
      <patternFill patternType="solid">
        <fgColor theme="6" tint="0.39991454817346722"/>
        <bgColor indexed="64"/>
      </patternFill>
    </fill>
    <fill>
      <patternFill patternType="solid">
        <fgColor theme="4" tint="0.7999206518753624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alignment vertical="center"/>
    </xf>
  </cellStyleXfs>
  <cellXfs count="48">
    <xf numFmtId="0" fontId="0" fillId="0" borderId="0" xfId="0">
      <alignment vertical="center"/>
    </xf>
    <xf numFmtId="49" fontId="0" fillId="2" borderId="0" xfId="0" applyNumberFormat="1" applyFill="1" applyProtection="1">
      <alignment vertical="center"/>
      <protection locked="0"/>
    </xf>
    <xf numFmtId="49" fontId="0" fillId="3" borderId="0" xfId="0" applyNumberFormat="1" applyFill="1" applyProtection="1">
      <alignment vertical="center"/>
      <protection locked="0"/>
    </xf>
    <xf numFmtId="0" fontId="0" fillId="3" borderId="0" xfId="0" applyFill="1">
      <alignment vertical="center"/>
    </xf>
    <xf numFmtId="49" fontId="1" fillId="2" borderId="0" xfId="0" applyNumberFormat="1" applyFont="1" applyFill="1" applyProtection="1">
      <alignment vertical="center"/>
      <protection locked="0"/>
    </xf>
    <xf numFmtId="49" fontId="2" fillId="3" borderId="1" xfId="0" applyNumberFormat="1" applyFont="1" applyFill="1" applyBorder="1" applyAlignment="1" applyProtection="1">
      <alignment horizontal="center" vertical="top" wrapText="1"/>
      <protection locked="0"/>
    </xf>
    <xf numFmtId="0" fontId="3" fillId="3" borderId="1" xfId="0" applyFont="1" applyFill="1" applyBorder="1" applyAlignment="1" applyProtection="1">
      <alignment horizontal="center" vertical="top" wrapText="1"/>
      <protection locked="0"/>
    </xf>
    <xf numFmtId="49" fontId="2" fillId="3" borderId="2" xfId="0" applyNumberFormat="1" applyFont="1" applyFill="1" applyBorder="1" applyAlignment="1" applyProtection="1">
      <alignment horizontal="center" vertical="center" wrapText="1"/>
      <protection locked="0"/>
    </xf>
    <xf numFmtId="0" fontId="0" fillId="3" borderId="0" xfId="0" applyFill="1" applyProtection="1">
      <alignment vertical="center"/>
      <protection locked="0"/>
    </xf>
    <xf numFmtId="49" fontId="2" fillId="3" borderId="1" xfId="0" applyNumberFormat="1" applyFont="1" applyFill="1" applyBorder="1" applyAlignment="1" applyProtection="1">
      <alignment horizontal="center" vertical="center" wrapText="1"/>
      <protection locked="0"/>
    </xf>
    <xf numFmtId="0" fontId="4" fillId="3" borderId="1" xfId="0" applyFont="1" applyFill="1" applyBorder="1" applyAlignment="1" applyProtection="1">
      <alignment horizontal="left" vertical="top" wrapText="1"/>
      <protection locked="0"/>
    </xf>
    <xf numFmtId="0" fontId="0" fillId="2" borderId="0" xfId="0" applyFill="1" applyProtection="1">
      <alignment vertical="center"/>
      <protection locked="0"/>
    </xf>
    <xf numFmtId="49" fontId="0" fillId="4" borderId="0" xfId="0" applyNumberFormat="1" applyFill="1" applyProtection="1">
      <alignment vertical="center"/>
      <protection locked="0"/>
    </xf>
    <xf numFmtId="49" fontId="5" fillId="4" borderId="0" xfId="0" applyNumberFormat="1" applyFont="1" applyFill="1" applyProtection="1">
      <alignment vertical="center"/>
      <protection locked="0"/>
    </xf>
    <xf numFmtId="49" fontId="0" fillId="5" borderId="0" xfId="0" applyNumberFormat="1" applyFill="1" applyProtection="1">
      <alignment vertical="center"/>
      <protection locked="0"/>
    </xf>
    <xf numFmtId="49" fontId="6" fillId="5" borderId="0" xfId="0" applyNumberFormat="1" applyFont="1" applyFill="1" applyProtection="1">
      <alignment vertical="center"/>
      <protection locked="0"/>
    </xf>
    <xf numFmtId="49" fontId="3" fillId="3" borderId="1" xfId="0" applyNumberFormat="1" applyFont="1" applyFill="1" applyBorder="1" applyAlignment="1" applyProtection="1">
      <alignment horizontal="center" vertical="top" wrapText="1"/>
      <protection locked="0"/>
    </xf>
    <xf numFmtId="0" fontId="7" fillId="3" borderId="0" xfId="0" applyFont="1" applyFill="1">
      <alignment vertical="center"/>
    </xf>
    <xf numFmtId="49" fontId="7" fillId="3" borderId="0" xfId="0" applyNumberFormat="1" applyFont="1" applyFill="1" applyProtection="1">
      <alignment vertical="center"/>
      <protection locked="0"/>
    </xf>
    <xf numFmtId="0" fontId="7" fillId="0" borderId="0" xfId="0" applyFon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12" fillId="6" borderId="0" xfId="0" applyFont="1" applyFill="1">
      <alignment vertical="center"/>
    </xf>
    <xf numFmtId="0" fontId="13" fillId="0" borderId="0" xfId="0" applyFont="1">
      <alignment vertical="center"/>
    </xf>
    <xf numFmtId="0" fontId="13" fillId="0" borderId="0" xfId="0" applyFont="1" applyAlignment="1">
      <alignment horizontal="left" vertical="center" indent="1"/>
    </xf>
    <xf numFmtId="0" fontId="11" fillId="0" borderId="0" xfId="0" applyFont="1" applyAlignment="1">
      <alignment horizontal="left" vertical="center" indent="1"/>
    </xf>
    <xf numFmtId="0" fontId="14" fillId="0" borderId="0" xfId="0" applyFont="1">
      <alignment vertical="center"/>
    </xf>
    <xf numFmtId="0" fontId="13" fillId="0" borderId="0" xfId="0" applyFont="1" applyAlignment="1">
      <alignment horizontal="left" vertical="center" indent="6"/>
    </xf>
    <xf numFmtId="0" fontId="13" fillId="0" borderId="0" xfId="0" applyFont="1" applyAlignment="1">
      <alignment horizontal="left" vertical="center" indent="2"/>
    </xf>
    <xf numFmtId="0" fontId="15" fillId="0" borderId="0" xfId="0" applyFont="1" applyAlignment="1">
      <alignment horizontal="left" vertical="center" indent="5"/>
    </xf>
    <xf numFmtId="0" fontId="16" fillId="0" borderId="0" xfId="0" applyFont="1">
      <alignment vertical="center"/>
    </xf>
    <xf numFmtId="0" fontId="17" fillId="0" borderId="0" xfId="0" applyFont="1" applyAlignment="1">
      <alignment horizontal="center" vertical="center"/>
    </xf>
    <xf numFmtId="0" fontId="18"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xf>
    <xf numFmtId="0" fontId="19" fillId="0" borderId="0" xfId="0" applyFont="1">
      <alignment vertical="center"/>
    </xf>
    <xf numFmtId="0" fontId="20" fillId="0" borderId="0" xfId="0" applyFont="1" applyAlignment="1">
      <alignment horizontal="center" vertical="center"/>
    </xf>
    <xf numFmtId="0" fontId="20" fillId="0" borderId="0" xfId="0" applyFont="1" applyAlignment="1">
      <alignment horizontal="left" vertical="center"/>
    </xf>
    <xf numFmtId="0" fontId="18" fillId="0" borderId="0" xfId="0" applyFont="1">
      <alignment vertical="center"/>
    </xf>
    <xf numFmtId="0" fontId="19" fillId="0" borderId="0" xfId="0" applyFont="1" applyAlignment="1">
      <alignment horizontal="right" vertical="center"/>
    </xf>
    <xf numFmtId="0" fontId="19" fillId="0" borderId="0" xfId="0" applyFont="1" applyAlignment="1">
      <alignment horizontal="center" vertical="center"/>
    </xf>
    <xf numFmtId="0" fontId="19" fillId="0" borderId="0" xfId="0" applyFont="1" applyAlignment="1">
      <alignment horizontal="left" vertical="center"/>
    </xf>
    <xf numFmtId="0" fontId="19" fillId="0" borderId="0" xfId="0" applyFont="1" applyAlignment="1">
      <alignment horizontal="left" vertical="top"/>
    </xf>
    <xf numFmtId="49" fontId="2" fillId="3" borderId="2" xfId="0" applyNumberFormat="1" applyFont="1" applyFill="1" applyBorder="1" applyAlignment="1" applyProtection="1">
      <alignment horizontal="center" vertical="center" wrapText="1"/>
      <protection locked="0"/>
    </xf>
    <xf numFmtId="49" fontId="2" fillId="3" borderId="3" xfId="0" applyNumberFormat="1" applyFont="1" applyFill="1" applyBorder="1" applyAlignment="1" applyProtection="1">
      <alignment horizontal="center" vertical="center" wrapText="1"/>
      <protection locked="0"/>
    </xf>
    <xf numFmtId="49" fontId="2" fillId="3" borderId="4" xfId="0" applyNumberFormat="1" applyFont="1" applyFill="1" applyBorder="1" applyAlignment="1" applyProtection="1">
      <alignment horizontal="center" vertical="center" wrapText="1"/>
      <protection locked="0"/>
    </xf>
  </cellXfs>
  <cellStyles count="1">
    <cellStyle name="一般" xfId="0" builtinId="0"/>
  </cellStyles>
  <dxfs count="16">
    <dxf>
      <fill>
        <patternFill patternType="solid">
          <bgColor rgb="FF0070C0"/>
        </patternFill>
      </fill>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bgColor rgb="FF0070C0"/>
        </patternFill>
      </fill>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bgColor rgb="FF0070C0"/>
        </patternFill>
      </fill>
    </dxf>
    <dxf>
      <fill>
        <patternFill patternType="solid">
          <bgColor rgb="FF92D050"/>
        </patternFill>
      </fill>
    </dxf>
    <dxf>
      <fill>
        <patternFill patternType="solid">
          <bgColor rgb="FFFFFF00"/>
        </patternFill>
      </fill>
    </dxf>
    <dxf>
      <fill>
        <patternFill patternType="solid">
          <bgColor rgb="FFFF0000"/>
        </patternFill>
      </fill>
    </dxf>
    <dxf>
      <fill>
        <patternFill patternType="solid">
          <bgColor rgb="FF0070C0"/>
        </patternFill>
      </fill>
    </dxf>
    <dxf>
      <fill>
        <patternFill patternType="solid">
          <bgColor rgb="FF92D050"/>
        </patternFill>
      </fill>
    </dxf>
    <dxf>
      <fill>
        <patternFill patternType="solid">
          <bgColor rgb="FFFFFF00"/>
        </patternFill>
      </fill>
    </dxf>
    <dxf>
      <fill>
        <patternFill patternType="solid">
          <bgColor rgb="FFFF0000"/>
        </patternFill>
      </fill>
    </dxf>
  </dxfs>
  <tableStyles count="0" defaultTableStyle="TableStyleMedium2" defaultPivotStyle="PivotStyleLight16"/>
  <colors>
    <mruColors>
      <color rgb="FFEEE11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298450</xdr:colOff>
      <xdr:row>4</xdr:row>
      <xdr:rowOff>0</xdr:rowOff>
    </xdr:from>
    <xdr:to>
      <xdr:col>8</xdr:col>
      <xdr:colOff>6350</xdr:colOff>
      <xdr:row>20</xdr:row>
      <xdr:rowOff>38100</xdr:rowOff>
    </xdr:to>
    <xdr:pic>
      <xdr:nvPicPr>
        <xdr:cNvPr id="2" name="图片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2355850" y="1095375"/>
          <a:ext cx="3136900" cy="2867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95250</xdr:colOff>
          <xdr:row>3</xdr:row>
          <xdr:rowOff>38100</xdr:rowOff>
        </xdr:from>
        <xdr:to>
          <xdr:col>1</xdr:col>
          <xdr:colOff>647700</xdr:colOff>
          <xdr:row>4</xdr:row>
          <xdr:rowOff>184150</xdr:rowOff>
        </xdr:to>
        <xdr:sp macro="" textlink="">
          <xdr:nvSpPr>
            <xdr:cNvPr id="4421" name="Button 325" hidden="1">
              <a:extLst>
                <a:ext uri="{63B3BB69-23CF-44E3-9099-C40C66FF867C}">
                  <a14:compatExt spid="_x0000_s4421"/>
                </a:ext>
                <a:ext uri="{FF2B5EF4-FFF2-40B4-BE49-F238E27FC236}">
                  <a16:creationId xmlns:a16="http://schemas.microsoft.com/office/drawing/2014/main" id="{00000000-0008-0000-0400-0000451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TW" altLang="en-US" sz="1100" b="0" i="0" u="none" strike="noStrike" baseline="0">
                  <a:solidFill>
                    <a:srgbClr val="000000"/>
                  </a:solidFill>
                  <a:latin typeface="宋体"/>
                  <a:ea typeface="宋体"/>
                </a:rPr>
                <a:t>处理</a:t>
              </a:r>
            </a:p>
          </xdr:txBody>
        </xdr:sp>
        <xdr:clientData fPrintsWithSheet="0"/>
      </xdr:twoCellAnchor>
    </mc:Choice>
    <mc:Fallback/>
  </mc:AlternateContent>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M38"/>
  <sheetViews>
    <sheetView workbookViewId="0">
      <selection activeCell="B23" sqref="B23:K27"/>
    </sheetView>
  </sheetViews>
  <sheetFormatPr defaultColWidth="9" defaultRowHeight="14.5"/>
  <sheetData>
    <row r="2" spans="2:6" ht="39">
      <c r="F2" s="33" t="s">
        <v>0</v>
      </c>
    </row>
    <row r="3" spans="2:6" ht="19.5">
      <c r="F3" s="34" t="s">
        <v>1</v>
      </c>
    </row>
    <row r="4" spans="2:6" ht="19.5">
      <c r="F4" s="34" t="s">
        <v>2</v>
      </c>
    </row>
    <row r="5" spans="2:6" ht="21.5">
      <c r="B5" s="35"/>
    </row>
    <row r="6" spans="2:6">
      <c r="B6" s="36"/>
    </row>
    <row r="7" spans="2:6">
      <c r="B7" s="36"/>
    </row>
    <row r="8" spans="2:6">
      <c r="B8" s="36"/>
    </row>
    <row r="9" spans="2:6">
      <c r="B9" s="36"/>
    </row>
    <row r="10" spans="2:6">
      <c r="B10" s="36"/>
    </row>
    <row r="11" spans="2:6">
      <c r="B11" s="36"/>
    </row>
    <row r="12" spans="2:6">
      <c r="B12" s="36"/>
    </row>
    <row r="13" spans="2:6">
      <c r="B13" s="36"/>
    </row>
    <row r="14" spans="2:6">
      <c r="B14" s="36"/>
    </row>
    <row r="15" spans="2:6">
      <c r="B15" s="36"/>
    </row>
    <row r="16" spans="2:6">
      <c r="B16" s="36"/>
    </row>
    <row r="17" spans="2:13">
      <c r="B17" s="36"/>
    </row>
    <row r="18" spans="2:13">
      <c r="B18" s="36"/>
    </row>
    <row r="19" spans="2:13">
      <c r="B19" s="36"/>
    </row>
    <row r="21" spans="2:13" ht="21.5">
      <c r="B21" s="37"/>
    </row>
    <row r="22" spans="2:13" ht="21.5">
      <c r="B22" s="41" t="s">
        <v>3</v>
      </c>
      <c r="C22" s="41"/>
      <c r="D22" s="42"/>
      <c r="E22" s="42"/>
      <c r="F22" s="41" t="s">
        <v>4</v>
      </c>
      <c r="G22" s="41"/>
      <c r="H22" s="42"/>
      <c r="I22" s="42"/>
      <c r="J22" s="37" t="s">
        <v>5</v>
      </c>
      <c r="K22" s="37"/>
      <c r="L22" s="37"/>
      <c r="M22" s="37"/>
    </row>
    <row r="23" spans="2:13" ht="21" customHeight="1">
      <c r="B23" s="44" t="s">
        <v>6</v>
      </c>
      <c r="C23" s="44"/>
      <c r="D23" s="44"/>
      <c r="E23" s="44"/>
      <c r="F23" s="44"/>
      <c r="G23" s="44"/>
      <c r="H23" s="44"/>
      <c r="I23" s="44"/>
      <c r="J23" s="44"/>
      <c r="K23" s="44"/>
    </row>
    <row r="24" spans="2:13" ht="21" customHeight="1">
      <c r="B24" s="44"/>
      <c r="C24" s="44"/>
      <c r="D24" s="44"/>
      <c r="E24" s="44"/>
      <c r="F24" s="44"/>
      <c r="G24" s="44"/>
      <c r="H24" s="44"/>
      <c r="I24" s="44"/>
      <c r="J24" s="44"/>
      <c r="K24" s="44"/>
    </row>
    <row r="25" spans="2:13" ht="21" customHeight="1">
      <c r="B25" s="44"/>
      <c r="C25" s="44"/>
      <c r="D25" s="44"/>
      <c r="E25" s="44"/>
      <c r="F25" s="44"/>
      <c r="G25" s="44"/>
      <c r="H25" s="44"/>
      <c r="I25" s="44"/>
      <c r="J25" s="44"/>
      <c r="K25" s="44"/>
    </row>
    <row r="26" spans="2:13" ht="21" customHeight="1">
      <c r="B26" s="44"/>
      <c r="C26" s="44"/>
      <c r="D26" s="44"/>
      <c r="E26" s="44"/>
      <c r="F26" s="44"/>
      <c r="G26" s="44"/>
      <c r="H26" s="44"/>
      <c r="I26" s="44"/>
      <c r="J26" s="44"/>
      <c r="K26" s="44"/>
    </row>
    <row r="27" spans="2:13" ht="21" customHeight="1">
      <c r="B27" s="44"/>
      <c r="C27" s="44"/>
      <c r="D27" s="44"/>
      <c r="E27" s="44"/>
      <c r="F27" s="44"/>
      <c r="G27" s="44"/>
      <c r="H27" s="44"/>
      <c r="I27" s="44"/>
      <c r="J27" s="44"/>
      <c r="K27" s="44"/>
    </row>
    <row r="28" spans="2:13" ht="19" customHeight="1">
      <c r="B28" s="43" t="s">
        <v>7</v>
      </c>
      <c r="C28" s="43"/>
      <c r="D28" s="43"/>
      <c r="E28" s="43"/>
      <c r="F28" s="43"/>
      <c r="G28" s="43"/>
      <c r="H28" s="43"/>
    </row>
    <row r="29" spans="2:13" ht="21.5">
      <c r="B29" s="38"/>
    </row>
    <row r="30" spans="2:13" ht="21.5">
      <c r="B30" s="39" t="s">
        <v>8</v>
      </c>
    </row>
    <row r="31" spans="2:13" ht="19.5">
      <c r="B31" s="40" t="s">
        <v>9</v>
      </c>
    </row>
    <row r="32" spans="2:13" ht="19.5">
      <c r="B32" s="40" t="s">
        <v>10</v>
      </c>
    </row>
    <row r="33" spans="2:2" ht="19.5">
      <c r="B33" s="40" t="s">
        <v>11</v>
      </c>
    </row>
    <row r="34" spans="2:2" ht="21">
      <c r="B34" s="40" t="s">
        <v>12</v>
      </c>
    </row>
    <row r="35" spans="2:2" ht="19.5">
      <c r="B35" s="40" t="s">
        <v>13</v>
      </c>
    </row>
    <row r="36" spans="2:2" ht="19.5">
      <c r="B36" s="40" t="s">
        <v>14</v>
      </c>
    </row>
    <row r="37" spans="2:2" ht="19.5">
      <c r="B37" s="40" t="s">
        <v>15</v>
      </c>
    </row>
    <row r="38" spans="2:2" ht="19.5">
      <c r="B38" s="40" t="s">
        <v>16</v>
      </c>
    </row>
  </sheetData>
  <mergeCells count="6">
    <mergeCell ref="B22:C22"/>
    <mergeCell ref="D22:E22"/>
    <mergeCell ref="F22:G22"/>
    <mergeCell ref="H22:I22"/>
    <mergeCell ref="B28:H28"/>
    <mergeCell ref="B23:K27"/>
  </mergeCells>
  <phoneticPr fontId="2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314"/>
  <sheetViews>
    <sheetView topLeftCell="D586" workbookViewId="0">
      <selection activeCell="D281" sqref="D281"/>
    </sheetView>
  </sheetViews>
  <sheetFormatPr defaultColWidth="9" defaultRowHeight="14.5"/>
  <cols>
    <col min="1" max="1" width="14" hidden="1" customWidth="1"/>
    <col min="2" max="3" width="9" hidden="1" customWidth="1"/>
    <col min="5" max="5" width="14.69921875" customWidth="1"/>
  </cols>
  <sheetData>
    <row r="1" spans="1:5" ht="21.5">
      <c r="A1" t="s">
        <v>17</v>
      </c>
      <c r="B1" s="19" t="s">
        <v>18</v>
      </c>
      <c r="E1" s="20" t="s">
        <v>19</v>
      </c>
    </row>
    <row r="2" spans="1:5" ht="19.5">
      <c r="E2" s="21" t="s">
        <v>20</v>
      </c>
    </row>
    <row r="3" spans="1:5" ht="17">
      <c r="E3" s="22" t="s">
        <v>21</v>
      </c>
    </row>
    <row r="4" spans="1:5">
      <c r="E4" s="23" t="s">
        <v>22</v>
      </c>
    </row>
    <row r="5" spans="1:5">
      <c r="A5" t="s">
        <v>23</v>
      </c>
      <c r="B5" t="s">
        <v>23</v>
      </c>
      <c r="C5" t="s">
        <v>24</v>
      </c>
      <c r="D5" s="24" t="s">
        <v>43</v>
      </c>
      <c r="E5" s="25" t="s">
        <v>25</v>
      </c>
    </row>
    <row r="6" spans="1:5">
      <c r="A6" t="s">
        <v>23</v>
      </c>
      <c r="B6" t="s">
        <v>23</v>
      </c>
      <c r="C6" t="s">
        <v>24</v>
      </c>
      <c r="D6" s="24" t="s">
        <v>43</v>
      </c>
      <c r="E6" s="25" t="s">
        <v>26</v>
      </c>
    </row>
    <row r="7" spans="1:5">
      <c r="A7" t="s">
        <v>23</v>
      </c>
      <c r="B7" t="s">
        <v>23</v>
      </c>
      <c r="C7" t="s">
        <v>24</v>
      </c>
      <c r="D7" s="24" t="s">
        <v>43</v>
      </c>
      <c r="E7" s="25" t="s">
        <v>27</v>
      </c>
    </row>
    <row r="8" spans="1:5">
      <c r="A8" t="s">
        <v>23</v>
      </c>
      <c r="B8" t="s">
        <v>23</v>
      </c>
      <c r="C8" t="s">
        <v>24</v>
      </c>
      <c r="D8" s="24" t="s">
        <v>43</v>
      </c>
      <c r="E8" s="25" t="s">
        <v>28</v>
      </c>
    </row>
    <row r="9" spans="1:5">
      <c r="A9" t="s">
        <v>23</v>
      </c>
      <c r="B9" t="s">
        <v>23</v>
      </c>
      <c r="C9" t="s">
        <v>24</v>
      </c>
      <c r="D9" s="24" t="s">
        <v>43</v>
      </c>
      <c r="E9" s="25" t="s">
        <v>29</v>
      </c>
    </row>
    <row r="10" spans="1:5">
      <c r="A10" t="s">
        <v>23</v>
      </c>
      <c r="B10" t="s">
        <v>23</v>
      </c>
      <c r="C10" t="s">
        <v>24</v>
      </c>
      <c r="D10" s="24" t="s">
        <v>43</v>
      </c>
      <c r="E10" s="25" t="s">
        <v>30</v>
      </c>
    </row>
    <row r="11" spans="1:5">
      <c r="A11" t="s">
        <v>23</v>
      </c>
      <c r="B11" t="s">
        <v>23</v>
      </c>
      <c r="C11" t="s">
        <v>24</v>
      </c>
      <c r="D11" s="24" t="s">
        <v>43</v>
      </c>
      <c r="E11" s="25" t="s">
        <v>31</v>
      </c>
    </row>
    <row r="12" spans="1:5">
      <c r="A12" t="s">
        <v>23</v>
      </c>
      <c r="B12" t="s">
        <v>23</v>
      </c>
      <c r="C12" t="s">
        <v>24</v>
      </c>
      <c r="D12" s="24" t="s">
        <v>43</v>
      </c>
      <c r="E12" s="25" t="s">
        <v>32</v>
      </c>
    </row>
    <row r="13" spans="1:5">
      <c r="A13" t="s">
        <v>23</v>
      </c>
      <c r="B13" t="s">
        <v>23</v>
      </c>
      <c r="C13" t="s">
        <v>24</v>
      </c>
      <c r="D13" s="24" t="s">
        <v>43</v>
      </c>
      <c r="E13" s="25" t="s">
        <v>33</v>
      </c>
    </row>
    <row r="14" spans="1:5">
      <c r="A14" t="s">
        <v>23</v>
      </c>
      <c r="B14" t="s">
        <v>23</v>
      </c>
      <c r="C14" t="s">
        <v>24</v>
      </c>
      <c r="D14" s="24" t="s">
        <v>43</v>
      </c>
      <c r="E14" s="25" t="s">
        <v>34</v>
      </c>
    </row>
    <row r="15" spans="1:5">
      <c r="A15" t="s">
        <v>23</v>
      </c>
      <c r="B15" t="s">
        <v>23</v>
      </c>
      <c r="C15" t="s">
        <v>24</v>
      </c>
      <c r="D15" s="24" t="s">
        <v>43</v>
      </c>
      <c r="E15" s="25" t="s">
        <v>35</v>
      </c>
    </row>
    <row r="16" spans="1:5">
      <c r="A16" t="s">
        <v>23</v>
      </c>
      <c r="B16" t="s">
        <v>23</v>
      </c>
      <c r="C16" t="s">
        <v>24</v>
      </c>
      <c r="D16" s="24" t="s">
        <v>43</v>
      </c>
      <c r="E16" s="25" t="s">
        <v>36</v>
      </c>
    </row>
    <row r="17" spans="1:5">
      <c r="A17" t="s">
        <v>23</v>
      </c>
      <c r="B17" t="s">
        <v>23</v>
      </c>
      <c r="C17" t="s">
        <v>24</v>
      </c>
      <c r="D17" s="24" t="s">
        <v>43</v>
      </c>
      <c r="E17" s="25" t="s">
        <v>37</v>
      </c>
    </row>
    <row r="18" spans="1:5">
      <c r="A18" t="s">
        <v>23</v>
      </c>
      <c r="B18" t="s">
        <v>23</v>
      </c>
      <c r="C18" t="s">
        <v>24</v>
      </c>
      <c r="D18" s="24" t="s">
        <v>43</v>
      </c>
      <c r="E18" s="25" t="s">
        <v>38</v>
      </c>
    </row>
    <row r="19" spans="1:5">
      <c r="A19" t="s">
        <v>23</v>
      </c>
      <c r="B19" t="s">
        <v>23</v>
      </c>
      <c r="C19" t="s">
        <v>24</v>
      </c>
      <c r="D19" s="24" t="s">
        <v>43</v>
      </c>
      <c r="E19" s="25" t="s">
        <v>39</v>
      </c>
    </row>
    <row r="20" spans="1:5">
      <c r="A20" t="s">
        <v>23</v>
      </c>
      <c r="B20" t="s">
        <v>23</v>
      </c>
      <c r="C20" t="s">
        <v>24</v>
      </c>
      <c r="D20" s="24" t="s">
        <v>43</v>
      </c>
      <c r="E20" s="25" t="s">
        <v>40</v>
      </c>
    </row>
    <row r="21" spans="1:5">
      <c r="E21" s="23" t="s">
        <v>41</v>
      </c>
    </row>
    <row r="22" spans="1:5">
      <c r="A22" t="s">
        <v>42</v>
      </c>
      <c r="B22" t="s">
        <v>42</v>
      </c>
      <c r="C22" t="s">
        <v>24</v>
      </c>
      <c r="D22" s="24" t="s">
        <v>43</v>
      </c>
      <c r="E22" s="25" t="s">
        <v>44</v>
      </c>
    </row>
    <row r="23" spans="1:5">
      <c r="A23" t="s">
        <v>42</v>
      </c>
      <c r="B23" t="s">
        <v>42</v>
      </c>
      <c r="C23" t="s">
        <v>24</v>
      </c>
      <c r="D23" s="24" t="s">
        <v>43</v>
      </c>
      <c r="E23" s="25" t="s">
        <v>45</v>
      </c>
    </row>
    <row r="24" spans="1:5">
      <c r="A24" t="s">
        <v>42</v>
      </c>
      <c r="B24" t="s">
        <v>42</v>
      </c>
      <c r="C24" t="s">
        <v>24</v>
      </c>
      <c r="D24" s="24" t="s">
        <v>43</v>
      </c>
      <c r="E24" s="25" t="s">
        <v>46</v>
      </c>
    </row>
    <row r="25" spans="1:5">
      <c r="A25" t="s">
        <v>42</v>
      </c>
      <c r="B25" t="s">
        <v>42</v>
      </c>
      <c r="C25" t="s">
        <v>24</v>
      </c>
      <c r="D25" s="24" t="s">
        <v>43</v>
      </c>
      <c r="E25" s="25" t="s">
        <v>47</v>
      </c>
    </row>
    <row r="26" spans="1:5">
      <c r="A26" t="s">
        <v>42</v>
      </c>
      <c r="B26" t="s">
        <v>42</v>
      </c>
      <c r="C26" t="s">
        <v>24</v>
      </c>
      <c r="D26" s="24" t="s">
        <v>43</v>
      </c>
      <c r="E26" s="25" t="s">
        <v>48</v>
      </c>
    </row>
    <row r="27" spans="1:5">
      <c r="A27" t="s">
        <v>42</v>
      </c>
      <c r="B27" t="s">
        <v>42</v>
      </c>
      <c r="C27" t="s">
        <v>24</v>
      </c>
      <c r="D27" s="24" t="s">
        <v>43</v>
      </c>
      <c r="E27" s="25" t="s">
        <v>49</v>
      </c>
    </row>
    <row r="28" spans="1:5">
      <c r="A28" t="s">
        <v>42</v>
      </c>
      <c r="B28" t="s">
        <v>42</v>
      </c>
      <c r="C28" t="s">
        <v>24</v>
      </c>
      <c r="D28" s="24" t="s">
        <v>43</v>
      </c>
      <c r="E28" s="25" t="s">
        <v>50</v>
      </c>
    </row>
    <row r="29" spans="1:5">
      <c r="A29" t="s">
        <v>42</v>
      </c>
      <c r="B29" t="s">
        <v>42</v>
      </c>
      <c r="C29" t="s">
        <v>24</v>
      </c>
      <c r="D29" s="24" t="s">
        <v>43</v>
      </c>
      <c r="E29" s="25" t="s">
        <v>51</v>
      </c>
    </row>
    <row r="30" spans="1:5">
      <c r="A30" t="s">
        <v>42</v>
      </c>
      <c r="B30" t="s">
        <v>42</v>
      </c>
      <c r="C30" t="s">
        <v>24</v>
      </c>
      <c r="D30" s="24" t="s">
        <v>43</v>
      </c>
      <c r="E30" s="25" t="s">
        <v>52</v>
      </c>
    </row>
    <row r="31" spans="1:5">
      <c r="A31" t="s">
        <v>42</v>
      </c>
      <c r="B31" t="s">
        <v>42</v>
      </c>
      <c r="C31" t="s">
        <v>24</v>
      </c>
      <c r="D31" s="24" t="s">
        <v>43</v>
      </c>
      <c r="E31" s="25" t="s">
        <v>53</v>
      </c>
    </row>
    <row r="32" spans="1:5">
      <c r="E32" s="23" t="s">
        <v>54</v>
      </c>
    </row>
    <row r="33" spans="1:5">
      <c r="A33" t="s">
        <v>55</v>
      </c>
      <c r="B33" t="s">
        <v>55</v>
      </c>
      <c r="C33" t="s">
        <v>24</v>
      </c>
      <c r="D33" s="24" t="s">
        <v>43</v>
      </c>
      <c r="E33" s="25" t="s">
        <v>56</v>
      </c>
    </row>
    <row r="34" spans="1:5">
      <c r="A34" t="s">
        <v>55</v>
      </c>
      <c r="B34" t="s">
        <v>55</v>
      </c>
      <c r="C34" t="s">
        <v>24</v>
      </c>
      <c r="D34" s="24" t="s">
        <v>43</v>
      </c>
      <c r="E34" s="25" t="s">
        <v>57</v>
      </c>
    </row>
    <row r="35" spans="1:5">
      <c r="A35" t="s">
        <v>55</v>
      </c>
      <c r="B35" t="s">
        <v>55</v>
      </c>
      <c r="C35" t="s">
        <v>24</v>
      </c>
      <c r="D35" s="24" t="s">
        <v>43</v>
      </c>
      <c r="E35" s="25" t="s">
        <v>58</v>
      </c>
    </row>
    <row r="36" spans="1:5">
      <c r="A36" t="s">
        <v>55</v>
      </c>
      <c r="B36" t="s">
        <v>55</v>
      </c>
      <c r="C36" t="s">
        <v>24</v>
      </c>
      <c r="D36" s="24" t="s">
        <v>43</v>
      </c>
      <c r="E36" s="25" t="s">
        <v>59</v>
      </c>
    </row>
    <row r="37" spans="1:5">
      <c r="A37" t="s">
        <v>55</v>
      </c>
      <c r="B37" t="s">
        <v>55</v>
      </c>
      <c r="C37" t="s">
        <v>24</v>
      </c>
      <c r="D37" s="24" t="s">
        <v>43</v>
      </c>
      <c r="E37" s="25" t="s">
        <v>60</v>
      </c>
    </row>
    <row r="38" spans="1:5">
      <c r="A38" t="s">
        <v>55</v>
      </c>
      <c r="B38" t="s">
        <v>55</v>
      </c>
      <c r="C38" t="s">
        <v>24</v>
      </c>
      <c r="D38" s="24" t="s">
        <v>43</v>
      </c>
      <c r="E38" s="25" t="s">
        <v>61</v>
      </c>
    </row>
    <row r="39" spans="1:5">
      <c r="A39" t="s">
        <v>55</v>
      </c>
      <c r="B39" t="s">
        <v>55</v>
      </c>
      <c r="C39" t="s">
        <v>24</v>
      </c>
      <c r="D39" s="24" t="s">
        <v>43</v>
      </c>
      <c r="E39" s="25" t="s">
        <v>62</v>
      </c>
    </row>
    <row r="40" spans="1:5">
      <c r="A40" t="s">
        <v>55</v>
      </c>
      <c r="B40" t="s">
        <v>55</v>
      </c>
      <c r="C40" t="s">
        <v>24</v>
      </c>
      <c r="D40" s="24" t="s">
        <v>43</v>
      </c>
      <c r="E40" s="25" t="s">
        <v>63</v>
      </c>
    </row>
    <row r="41" spans="1:5">
      <c r="A41" t="s">
        <v>55</v>
      </c>
      <c r="B41" t="s">
        <v>55</v>
      </c>
      <c r="C41" t="s">
        <v>24</v>
      </c>
      <c r="D41" s="24" t="s">
        <v>43</v>
      </c>
      <c r="E41" s="25" t="s">
        <v>64</v>
      </c>
    </row>
    <row r="42" spans="1:5" ht="17">
      <c r="E42" s="22" t="s">
        <v>65</v>
      </c>
    </row>
    <row r="43" spans="1:5" ht="17">
      <c r="E43" s="22" t="s">
        <v>66</v>
      </c>
    </row>
    <row r="44" spans="1:5">
      <c r="A44" t="s">
        <v>67</v>
      </c>
      <c r="B44" t="s">
        <v>67</v>
      </c>
      <c r="C44" t="s">
        <v>24</v>
      </c>
      <c r="D44" s="24" t="s">
        <v>43</v>
      </c>
      <c r="E44" s="26" t="s">
        <v>68</v>
      </c>
    </row>
    <row r="45" spans="1:5">
      <c r="A45" t="s">
        <v>67</v>
      </c>
      <c r="B45" t="s">
        <v>67</v>
      </c>
      <c r="C45" t="s">
        <v>24</v>
      </c>
      <c r="D45" s="24" t="s">
        <v>43</v>
      </c>
      <c r="E45" s="26" t="s">
        <v>69</v>
      </c>
    </row>
    <row r="46" spans="1:5">
      <c r="A46" t="s">
        <v>67</v>
      </c>
      <c r="B46" t="s">
        <v>67</v>
      </c>
      <c r="C46" t="s">
        <v>24</v>
      </c>
      <c r="D46" s="24" t="s">
        <v>43</v>
      </c>
      <c r="E46" s="26" t="s">
        <v>70</v>
      </c>
    </row>
    <row r="47" spans="1:5">
      <c r="A47" t="s">
        <v>67</v>
      </c>
      <c r="B47" t="s">
        <v>67</v>
      </c>
      <c r="C47" t="s">
        <v>24</v>
      </c>
      <c r="D47" s="24" t="s">
        <v>43</v>
      </c>
      <c r="E47" s="26" t="s">
        <v>71</v>
      </c>
    </row>
    <row r="48" spans="1:5">
      <c r="A48" t="s">
        <v>67</v>
      </c>
      <c r="B48" t="s">
        <v>67</v>
      </c>
      <c r="C48" t="s">
        <v>24</v>
      </c>
      <c r="D48" s="24" t="s">
        <v>43</v>
      </c>
      <c r="E48" s="26" t="s">
        <v>72</v>
      </c>
    </row>
    <row r="49" spans="1:5">
      <c r="A49" t="s">
        <v>67</v>
      </c>
      <c r="B49" t="s">
        <v>67</v>
      </c>
      <c r="C49" t="s">
        <v>24</v>
      </c>
      <c r="D49" s="24" t="s">
        <v>43</v>
      </c>
      <c r="E49" s="26" t="s">
        <v>73</v>
      </c>
    </row>
    <row r="50" spans="1:5">
      <c r="A50" t="s">
        <v>67</v>
      </c>
      <c r="B50" t="s">
        <v>67</v>
      </c>
      <c r="C50" t="s">
        <v>24</v>
      </c>
      <c r="D50" s="24" t="s">
        <v>43</v>
      </c>
      <c r="E50" s="26" t="s">
        <v>74</v>
      </c>
    </row>
    <row r="51" spans="1:5">
      <c r="A51" t="s">
        <v>67</v>
      </c>
      <c r="B51" t="s">
        <v>67</v>
      </c>
      <c r="C51" t="s">
        <v>24</v>
      </c>
      <c r="D51" s="24" t="s">
        <v>43</v>
      </c>
      <c r="E51" s="26" t="s">
        <v>75</v>
      </c>
    </row>
    <row r="52" spans="1:5">
      <c r="A52" t="s">
        <v>67</v>
      </c>
      <c r="B52" t="s">
        <v>67</v>
      </c>
      <c r="C52" t="s">
        <v>24</v>
      </c>
      <c r="D52" s="24" t="s">
        <v>43</v>
      </c>
      <c r="E52" s="26" t="s">
        <v>76</v>
      </c>
    </row>
    <row r="53" spans="1:5">
      <c r="A53" t="s">
        <v>67</v>
      </c>
      <c r="B53" t="s">
        <v>67</v>
      </c>
      <c r="C53" t="s">
        <v>24</v>
      </c>
      <c r="D53" s="24" t="s">
        <v>43</v>
      </c>
      <c r="E53" s="26" t="s">
        <v>77</v>
      </c>
    </row>
    <row r="54" spans="1:5">
      <c r="A54" t="s">
        <v>67</v>
      </c>
      <c r="B54" t="s">
        <v>67</v>
      </c>
      <c r="C54" t="s">
        <v>24</v>
      </c>
      <c r="D54" s="24" t="s">
        <v>43</v>
      </c>
      <c r="E54" s="26" t="s">
        <v>78</v>
      </c>
    </row>
    <row r="55" spans="1:5">
      <c r="A55" t="s">
        <v>67</v>
      </c>
      <c r="B55" t="s">
        <v>67</v>
      </c>
      <c r="C55" t="s">
        <v>24</v>
      </c>
      <c r="D55" s="24" t="s">
        <v>43</v>
      </c>
      <c r="E55" s="26" t="s">
        <v>79</v>
      </c>
    </row>
    <row r="56" spans="1:5">
      <c r="E56" s="27" t="s">
        <v>80</v>
      </c>
    </row>
    <row r="57" spans="1:5">
      <c r="A57" t="s">
        <v>81</v>
      </c>
      <c r="B57" t="s">
        <v>81</v>
      </c>
      <c r="C57" t="s">
        <v>24</v>
      </c>
      <c r="D57" s="24" t="s">
        <v>43</v>
      </c>
      <c r="E57" s="25" t="s">
        <v>82</v>
      </c>
    </row>
    <row r="58" spans="1:5">
      <c r="A58" t="s">
        <v>81</v>
      </c>
      <c r="B58" t="s">
        <v>81</v>
      </c>
      <c r="C58" t="s">
        <v>24</v>
      </c>
      <c r="D58" s="24" t="s">
        <v>43</v>
      </c>
      <c r="E58" s="25" t="s">
        <v>83</v>
      </c>
    </row>
    <row r="59" spans="1:5">
      <c r="A59" t="s">
        <v>81</v>
      </c>
      <c r="B59" t="s">
        <v>81</v>
      </c>
      <c r="C59" t="s">
        <v>24</v>
      </c>
      <c r="D59" s="24" t="s">
        <v>43</v>
      </c>
      <c r="E59" s="25" t="s">
        <v>84</v>
      </c>
    </row>
    <row r="60" spans="1:5">
      <c r="A60" t="s">
        <v>81</v>
      </c>
      <c r="B60" t="s">
        <v>81</v>
      </c>
      <c r="C60" t="s">
        <v>24</v>
      </c>
      <c r="D60" s="24" t="s">
        <v>43</v>
      </c>
      <c r="E60" s="25" t="s">
        <v>85</v>
      </c>
    </row>
    <row r="61" spans="1:5">
      <c r="A61" t="s">
        <v>81</v>
      </c>
      <c r="B61" t="s">
        <v>81</v>
      </c>
      <c r="C61" t="s">
        <v>24</v>
      </c>
      <c r="D61" s="24" t="s">
        <v>43</v>
      </c>
      <c r="E61" s="25" t="s">
        <v>86</v>
      </c>
    </row>
    <row r="62" spans="1:5">
      <c r="A62" t="s">
        <v>81</v>
      </c>
      <c r="B62" t="s">
        <v>81</v>
      </c>
      <c r="C62" t="s">
        <v>24</v>
      </c>
      <c r="D62" s="24" t="s">
        <v>43</v>
      </c>
      <c r="E62" s="25" t="s">
        <v>87</v>
      </c>
    </row>
    <row r="63" spans="1:5">
      <c r="A63" t="s">
        <v>81</v>
      </c>
      <c r="B63" t="s">
        <v>81</v>
      </c>
      <c r="C63" t="s">
        <v>24</v>
      </c>
      <c r="D63" s="24" t="s">
        <v>43</v>
      </c>
      <c r="E63" s="25" t="s">
        <v>88</v>
      </c>
    </row>
    <row r="64" spans="1:5">
      <c r="A64" t="s">
        <v>81</v>
      </c>
      <c r="B64" t="s">
        <v>81</v>
      </c>
      <c r="C64" t="s">
        <v>24</v>
      </c>
      <c r="D64" s="24" t="s">
        <v>43</v>
      </c>
      <c r="E64" s="25" t="s">
        <v>89</v>
      </c>
    </row>
    <row r="65" spans="1:5" ht="17">
      <c r="E65" s="22" t="s">
        <v>90</v>
      </c>
    </row>
    <row r="66" spans="1:5">
      <c r="A66" t="s">
        <v>91</v>
      </c>
      <c r="B66" t="s">
        <v>91</v>
      </c>
      <c r="C66" t="s">
        <v>24</v>
      </c>
      <c r="D66" s="24" t="s">
        <v>43</v>
      </c>
      <c r="E66" s="26" t="s">
        <v>92</v>
      </c>
    </row>
    <row r="67" spans="1:5">
      <c r="A67" t="s">
        <v>91</v>
      </c>
      <c r="B67" t="s">
        <v>91</v>
      </c>
      <c r="C67" t="s">
        <v>24</v>
      </c>
      <c r="D67" s="24" t="s">
        <v>43</v>
      </c>
      <c r="E67" s="26" t="s">
        <v>93</v>
      </c>
    </row>
    <row r="68" spans="1:5" ht="17">
      <c r="E68" s="22" t="s">
        <v>94</v>
      </c>
    </row>
    <row r="69" spans="1:5">
      <c r="E69" s="23" t="s">
        <v>95</v>
      </c>
    </row>
    <row r="70" spans="1:5">
      <c r="A70" t="s">
        <v>96</v>
      </c>
      <c r="B70" t="s">
        <v>97</v>
      </c>
      <c r="C70" t="s">
        <v>24</v>
      </c>
      <c r="D70" s="24" t="s">
        <v>43</v>
      </c>
      <c r="E70" s="25" t="s">
        <v>98</v>
      </c>
    </row>
    <row r="71" spans="1:5">
      <c r="A71" t="s">
        <v>96</v>
      </c>
      <c r="B71" t="s">
        <v>97</v>
      </c>
      <c r="C71" t="s">
        <v>24</v>
      </c>
      <c r="D71" s="24" t="s">
        <v>43</v>
      </c>
      <c r="E71" s="25" t="s">
        <v>99</v>
      </c>
    </row>
    <row r="72" spans="1:5">
      <c r="A72" t="s">
        <v>96</v>
      </c>
      <c r="B72" t="s">
        <v>97</v>
      </c>
      <c r="C72" t="s">
        <v>24</v>
      </c>
      <c r="D72" s="24" t="s">
        <v>43</v>
      </c>
      <c r="E72" s="25" t="s">
        <v>100</v>
      </c>
    </row>
    <row r="73" spans="1:5">
      <c r="A73" t="s">
        <v>96</v>
      </c>
      <c r="B73" t="s">
        <v>97</v>
      </c>
      <c r="C73" t="s">
        <v>24</v>
      </c>
      <c r="D73" s="24" t="s">
        <v>43</v>
      </c>
      <c r="E73" s="25" t="s">
        <v>101</v>
      </c>
    </row>
    <row r="74" spans="1:5">
      <c r="A74" t="s">
        <v>96</v>
      </c>
      <c r="B74" t="s">
        <v>97</v>
      </c>
      <c r="C74" t="s">
        <v>24</v>
      </c>
      <c r="D74" s="24" t="s">
        <v>43</v>
      </c>
      <c r="E74" s="25" t="s">
        <v>102</v>
      </c>
    </row>
    <row r="75" spans="1:5">
      <c r="A75" t="s">
        <v>96</v>
      </c>
      <c r="B75" t="s">
        <v>97</v>
      </c>
      <c r="C75" t="s">
        <v>24</v>
      </c>
      <c r="D75" s="24" t="s">
        <v>43</v>
      </c>
      <c r="E75" s="25" t="s">
        <v>103</v>
      </c>
    </row>
    <row r="76" spans="1:5" ht="17">
      <c r="E76" s="22" t="s">
        <v>104</v>
      </c>
    </row>
    <row r="77" spans="1:5">
      <c r="A77" t="s">
        <v>105</v>
      </c>
      <c r="B77" t="s">
        <v>105</v>
      </c>
      <c r="C77" t="s">
        <v>24</v>
      </c>
      <c r="D77" s="24" t="s">
        <v>43</v>
      </c>
      <c r="E77" s="25" t="s">
        <v>106</v>
      </c>
    </row>
    <row r="78" spans="1:5" ht="17">
      <c r="E78" s="22" t="s">
        <v>107</v>
      </c>
    </row>
    <row r="79" spans="1:5">
      <c r="E79" s="23" t="s">
        <v>108</v>
      </c>
    </row>
    <row r="80" spans="1:5">
      <c r="A80" t="s">
        <v>109</v>
      </c>
      <c r="B80" t="s">
        <v>110</v>
      </c>
      <c r="C80" t="s">
        <v>24</v>
      </c>
      <c r="D80" s="24" t="s">
        <v>43</v>
      </c>
      <c r="E80" s="25" t="s">
        <v>111</v>
      </c>
    </row>
    <row r="81" spans="1:5">
      <c r="A81" t="s">
        <v>109</v>
      </c>
      <c r="B81" t="s">
        <v>110</v>
      </c>
      <c r="C81" t="s">
        <v>24</v>
      </c>
      <c r="D81" s="24" t="s">
        <v>43</v>
      </c>
      <c r="E81" s="25" t="s">
        <v>112</v>
      </c>
    </row>
    <row r="82" spans="1:5">
      <c r="A82" t="s">
        <v>109</v>
      </c>
      <c r="B82" t="s">
        <v>110</v>
      </c>
      <c r="C82" t="s">
        <v>24</v>
      </c>
      <c r="D82" s="24" t="s">
        <v>43</v>
      </c>
      <c r="E82" s="25" t="s">
        <v>113</v>
      </c>
    </row>
    <row r="83" spans="1:5">
      <c r="A83" t="s">
        <v>109</v>
      </c>
      <c r="B83" t="s">
        <v>110</v>
      </c>
      <c r="C83" t="s">
        <v>24</v>
      </c>
      <c r="D83" s="24" t="s">
        <v>43</v>
      </c>
      <c r="E83" s="25" t="s">
        <v>114</v>
      </c>
    </row>
    <row r="84" spans="1:5">
      <c r="A84" t="s">
        <v>109</v>
      </c>
      <c r="B84" t="s">
        <v>110</v>
      </c>
      <c r="C84" t="s">
        <v>24</v>
      </c>
      <c r="D84" s="24" t="s">
        <v>43</v>
      </c>
      <c r="E84" s="25" t="s">
        <v>115</v>
      </c>
    </row>
    <row r="85" spans="1:5">
      <c r="A85" t="s">
        <v>109</v>
      </c>
      <c r="B85" t="s">
        <v>110</v>
      </c>
      <c r="C85" t="s">
        <v>24</v>
      </c>
      <c r="D85" s="24" t="s">
        <v>43</v>
      </c>
      <c r="E85" s="25" t="s">
        <v>116</v>
      </c>
    </row>
    <row r="86" spans="1:5">
      <c r="E86" s="23" t="s">
        <v>117</v>
      </c>
    </row>
    <row r="87" spans="1:5">
      <c r="A87" t="s">
        <v>109</v>
      </c>
      <c r="B87" t="s">
        <v>118</v>
      </c>
      <c r="C87" t="s">
        <v>24</v>
      </c>
      <c r="D87" s="24" t="s">
        <v>43</v>
      </c>
      <c r="E87" s="25" t="s">
        <v>119</v>
      </c>
    </row>
    <row r="88" spans="1:5">
      <c r="A88" t="s">
        <v>109</v>
      </c>
      <c r="B88" t="s">
        <v>118</v>
      </c>
      <c r="C88" t="s">
        <v>24</v>
      </c>
      <c r="D88" s="24" t="s">
        <v>43</v>
      </c>
      <c r="E88" s="25" t="s">
        <v>120</v>
      </c>
    </row>
    <row r="89" spans="1:5">
      <c r="A89" t="s">
        <v>109</v>
      </c>
      <c r="B89" t="s">
        <v>118</v>
      </c>
      <c r="C89" t="s">
        <v>24</v>
      </c>
      <c r="D89" s="24" t="s">
        <v>43</v>
      </c>
      <c r="E89" s="25" t="s">
        <v>121</v>
      </c>
    </row>
    <row r="90" spans="1:5">
      <c r="A90" t="s">
        <v>109</v>
      </c>
      <c r="B90" t="s">
        <v>118</v>
      </c>
      <c r="C90" t="s">
        <v>24</v>
      </c>
      <c r="D90" s="24" t="s">
        <v>43</v>
      </c>
      <c r="E90" s="25" t="s">
        <v>122</v>
      </c>
    </row>
    <row r="91" spans="1:5">
      <c r="E91" s="23" t="s">
        <v>123</v>
      </c>
    </row>
    <row r="92" spans="1:5">
      <c r="A92" t="s">
        <v>109</v>
      </c>
      <c r="B92" s="8" t="s">
        <v>124</v>
      </c>
      <c r="C92" t="s">
        <v>24</v>
      </c>
      <c r="D92" s="24" t="s">
        <v>43</v>
      </c>
      <c r="E92" s="25" t="s">
        <v>125</v>
      </c>
    </row>
    <row r="93" spans="1:5">
      <c r="A93" t="s">
        <v>109</v>
      </c>
      <c r="B93" s="8" t="s">
        <v>124</v>
      </c>
      <c r="C93" t="s">
        <v>24</v>
      </c>
      <c r="D93" s="24" t="s">
        <v>43</v>
      </c>
      <c r="E93" s="25" t="s">
        <v>126</v>
      </c>
    </row>
    <row r="94" spans="1:5">
      <c r="A94" t="s">
        <v>109</v>
      </c>
      <c r="B94" s="8" t="s">
        <v>124</v>
      </c>
      <c r="C94" t="s">
        <v>24</v>
      </c>
      <c r="D94" s="24" t="s">
        <v>43</v>
      </c>
      <c r="E94" s="25" t="s">
        <v>127</v>
      </c>
    </row>
    <row r="95" spans="1:5">
      <c r="A95" t="s">
        <v>109</v>
      </c>
      <c r="B95" s="8" t="s">
        <v>124</v>
      </c>
      <c r="C95" t="s">
        <v>24</v>
      </c>
      <c r="D95" s="24" t="s">
        <v>43</v>
      </c>
      <c r="E95" s="25" t="s">
        <v>128</v>
      </c>
    </row>
    <row r="96" spans="1:5">
      <c r="A96" t="s">
        <v>109</v>
      </c>
      <c r="B96" s="8" t="s">
        <v>124</v>
      </c>
      <c r="C96" t="s">
        <v>24</v>
      </c>
      <c r="D96" s="24" t="s">
        <v>43</v>
      </c>
      <c r="E96" s="25" t="s">
        <v>129</v>
      </c>
    </row>
    <row r="97" spans="1:5">
      <c r="A97" t="s">
        <v>109</v>
      </c>
      <c r="B97" s="8" t="s">
        <v>124</v>
      </c>
      <c r="C97" t="s">
        <v>24</v>
      </c>
      <c r="D97" s="24" t="s">
        <v>43</v>
      </c>
      <c r="E97" s="25" t="s">
        <v>130</v>
      </c>
    </row>
    <row r="98" spans="1:5">
      <c r="A98" t="s">
        <v>109</v>
      </c>
      <c r="B98" s="8" t="s">
        <v>124</v>
      </c>
      <c r="C98" t="s">
        <v>24</v>
      </c>
      <c r="D98" s="24" t="s">
        <v>43</v>
      </c>
      <c r="E98" s="25" t="s">
        <v>131</v>
      </c>
    </row>
    <row r="99" spans="1:5" ht="17">
      <c r="E99" s="22" t="s">
        <v>132</v>
      </c>
    </row>
    <row r="100" spans="1:5">
      <c r="E100" s="23" t="s">
        <v>133</v>
      </c>
    </row>
    <row r="101" spans="1:5">
      <c r="A101" t="s">
        <v>134</v>
      </c>
      <c r="B101" t="s">
        <v>135</v>
      </c>
      <c r="C101" t="s">
        <v>24</v>
      </c>
      <c r="D101" s="24" t="s">
        <v>43</v>
      </c>
      <c r="E101" s="25" t="s">
        <v>136</v>
      </c>
    </row>
    <row r="102" spans="1:5">
      <c r="A102" t="s">
        <v>134</v>
      </c>
      <c r="B102" t="s">
        <v>135</v>
      </c>
      <c r="C102" t="s">
        <v>24</v>
      </c>
      <c r="D102" s="24" t="s">
        <v>43</v>
      </c>
      <c r="E102" s="25" t="s">
        <v>137</v>
      </c>
    </row>
    <row r="103" spans="1:5">
      <c r="A103" t="s">
        <v>134</v>
      </c>
      <c r="B103" t="s">
        <v>135</v>
      </c>
      <c r="C103" t="s">
        <v>24</v>
      </c>
      <c r="D103" s="24" t="s">
        <v>43</v>
      </c>
      <c r="E103" s="25" t="s">
        <v>138</v>
      </c>
    </row>
    <row r="104" spans="1:5">
      <c r="A104" t="s">
        <v>134</v>
      </c>
      <c r="B104" t="s">
        <v>135</v>
      </c>
      <c r="C104" t="s">
        <v>24</v>
      </c>
      <c r="D104" s="24" t="s">
        <v>43</v>
      </c>
      <c r="E104" s="25" t="s">
        <v>139</v>
      </c>
    </row>
    <row r="105" spans="1:5">
      <c r="A105" t="s">
        <v>134</v>
      </c>
      <c r="B105" t="s">
        <v>135</v>
      </c>
      <c r="C105" t="s">
        <v>24</v>
      </c>
      <c r="D105" s="24" t="s">
        <v>43</v>
      </c>
      <c r="E105" s="25" t="s">
        <v>140</v>
      </c>
    </row>
    <row r="106" spans="1:5">
      <c r="A106" t="s">
        <v>134</v>
      </c>
      <c r="B106" t="s">
        <v>135</v>
      </c>
      <c r="C106" t="s">
        <v>24</v>
      </c>
      <c r="D106" s="24" t="s">
        <v>43</v>
      </c>
      <c r="E106" s="25" t="s">
        <v>141</v>
      </c>
    </row>
    <row r="107" spans="1:5">
      <c r="A107" t="s">
        <v>134</v>
      </c>
      <c r="B107" t="s">
        <v>135</v>
      </c>
      <c r="C107" t="s">
        <v>24</v>
      </c>
      <c r="D107" s="24" t="s">
        <v>43</v>
      </c>
      <c r="E107" s="25" t="s">
        <v>142</v>
      </c>
    </row>
    <row r="108" spans="1:5">
      <c r="E108" s="23" t="s">
        <v>143</v>
      </c>
    </row>
    <row r="109" spans="1:5">
      <c r="A109" t="s">
        <v>134</v>
      </c>
      <c r="B109" t="s">
        <v>144</v>
      </c>
      <c r="C109" t="s">
        <v>24</v>
      </c>
      <c r="D109" s="24" t="s">
        <v>43</v>
      </c>
      <c r="E109" s="25" t="s">
        <v>145</v>
      </c>
    </row>
    <row r="110" spans="1:5">
      <c r="A110" t="s">
        <v>134</v>
      </c>
      <c r="B110" t="s">
        <v>144</v>
      </c>
      <c r="C110" t="s">
        <v>24</v>
      </c>
      <c r="D110" s="24" t="s">
        <v>43</v>
      </c>
      <c r="E110" s="25" t="s">
        <v>146</v>
      </c>
    </row>
    <row r="111" spans="1:5">
      <c r="A111" t="s">
        <v>134</v>
      </c>
      <c r="B111" t="s">
        <v>144</v>
      </c>
      <c r="C111" t="s">
        <v>24</v>
      </c>
      <c r="D111" s="24" t="s">
        <v>43</v>
      </c>
      <c r="E111" s="25" t="s">
        <v>147</v>
      </c>
    </row>
    <row r="112" spans="1:5">
      <c r="E112" s="23" t="s">
        <v>148</v>
      </c>
    </row>
    <row r="113" spans="1:5">
      <c r="A113" t="s">
        <v>134</v>
      </c>
      <c r="B113" t="s">
        <v>149</v>
      </c>
      <c r="C113" t="s">
        <v>24</v>
      </c>
      <c r="D113" s="24" t="s">
        <v>43</v>
      </c>
      <c r="E113" s="25" t="s">
        <v>150</v>
      </c>
    </row>
    <row r="114" spans="1:5" ht="17">
      <c r="E114" s="22" t="s">
        <v>151</v>
      </c>
    </row>
    <row r="115" spans="1:5">
      <c r="A115" t="s">
        <v>152</v>
      </c>
      <c r="B115" t="s">
        <v>152</v>
      </c>
      <c r="C115" t="s">
        <v>24</v>
      </c>
      <c r="D115" s="24" t="s">
        <v>43</v>
      </c>
      <c r="E115" s="25" t="s">
        <v>153</v>
      </c>
    </row>
    <row r="116" spans="1:5">
      <c r="A116" t="s">
        <v>152</v>
      </c>
      <c r="B116" t="s">
        <v>152</v>
      </c>
      <c r="C116" t="s">
        <v>24</v>
      </c>
      <c r="D116" s="24" t="s">
        <v>43</v>
      </c>
      <c r="E116" s="25" t="s">
        <v>154</v>
      </c>
    </row>
    <row r="117" spans="1:5">
      <c r="A117" t="s">
        <v>152</v>
      </c>
      <c r="B117" t="s">
        <v>152</v>
      </c>
      <c r="C117" t="s">
        <v>24</v>
      </c>
      <c r="D117" s="24" t="s">
        <v>43</v>
      </c>
      <c r="E117" s="25" t="s">
        <v>155</v>
      </c>
    </row>
    <row r="118" spans="1:5">
      <c r="A118" t="s">
        <v>152</v>
      </c>
      <c r="B118" t="s">
        <v>152</v>
      </c>
      <c r="C118" t="s">
        <v>24</v>
      </c>
      <c r="D118" s="24" t="s">
        <v>43</v>
      </c>
      <c r="E118" s="25" t="s">
        <v>156</v>
      </c>
    </row>
    <row r="119" spans="1:5">
      <c r="A119" t="s">
        <v>152</v>
      </c>
      <c r="B119" t="s">
        <v>152</v>
      </c>
      <c r="C119" t="s">
        <v>24</v>
      </c>
      <c r="D119" s="24" t="s">
        <v>43</v>
      </c>
      <c r="E119" s="25" t="s">
        <v>157</v>
      </c>
    </row>
    <row r="120" spans="1:5" ht="17">
      <c r="E120" s="28" t="s">
        <v>158</v>
      </c>
    </row>
    <row r="121" spans="1:5">
      <c r="E121" s="23" t="s">
        <v>159</v>
      </c>
    </row>
    <row r="122" spans="1:5">
      <c r="A122" t="s">
        <v>160</v>
      </c>
      <c r="B122" t="s">
        <v>161</v>
      </c>
      <c r="C122" t="s">
        <v>24</v>
      </c>
      <c r="D122" s="24" t="s">
        <v>43</v>
      </c>
      <c r="E122" s="25" t="s">
        <v>162</v>
      </c>
    </row>
    <row r="123" spans="1:5">
      <c r="A123" t="s">
        <v>160</v>
      </c>
      <c r="B123" t="s">
        <v>161</v>
      </c>
      <c r="C123" t="s">
        <v>24</v>
      </c>
      <c r="D123" s="24" t="s">
        <v>43</v>
      </c>
      <c r="E123" s="25" t="s">
        <v>163</v>
      </c>
    </row>
    <row r="124" spans="1:5">
      <c r="E124" s="23" t="s">
        <v>164</v>
      </c>
    </row>
    <row r="125" spans="1:5">
      <c r="A125" t="s">
        <v>160</v>
      </c>
      <c r="B125" t="s">
        <v>165</v>
      </c>
      <c r="C125" t="s">
        <v>24</v>
      </c>
      <c r="D125" s="24" t="s">
        <v>43</v>
      </c>
      <c r="E125" s="25" t="s">
        <v>166</v>
      </c>
    </row>
    <row r="126" spans="1:5">
      <c r="A126" t="s">
        <v>160</v>
      </c>
      <c r="B126" t="s">
        <v>165</v>
      </c>
      <c r="C126" t="s">
        <v>24</v>
      </c>
      <c r="D126" s="24" t="s">
        <v>43</v>
      </c>
      <c r="E126" s="25" t="s">
        <v>167</v>
      </c>
    </row>
    <row r="127" spans="1:5">
      <c r="A127" t="s">
        <v>160</v>
      </c>
      <c r="B127" t="s">
        <v>165</v>
      </c>
      <c r="C127" t="s">
        <v>24</v>
      </c>
      <c r="D127" s="24" t="s">
        <v>43</v>
      </c>
      <c r="E127" s="25" t="s">
        <v>168</v>
      </c>
    </row>
    <row r="128" spans="1:5" ht="19.5">
      <c r="E128" s="21" t="s">
        <v>169</v>
      </c>
    </row>
    <row r="129" spans="1:5" ht="17">
      <c r="E129" s="22" t="s">
        <v>21</v>
      </c>
    </row>
    <row r="130" spans="1:5">
      <c r="E130" s="23" t="s">
        <v>170</v>
      </c>
    </row>
    <row r="131" spans="1:5">
      <c r="A131" t="s">
        <v>23</v>
      </c>
      <c r="B131" t="s">
        <v>23</v>
      </c>
      <c r="C131" t="s">
        <v>171</v>
      </c>
      <c r="D131" s="24" t="s">
        <v>43</v>
      </c>
      <c r="E131" s="25" t="s">
        <v>172</v>
      </c>
    </row>
    <row r="132" spans="1:5">
      <c r="A132" t="s">
        <v>23</v>
      </c>
      <c r="B132" t="s">
        <v>23</v>
      </c>
      <c r="C132" t="s">
        <v>171</v>
      </c>
      <c r="D132" s="24" t="s">
        <v>43</v>
      </c>
      <c r="E132" s="25" t="s">
        <v>173</v>
      </c>
    </row>
    <row r="133" spans="1:5">
      <c r="A133" t="s">
        <v>23</v>
      </c>
      <c r="B133" t="s">
        <v>23</v>
      </c>
      <c r="C133" t="s">
        <v>171</v>
      </c>
      <c r="D133" s="24" t="s">
        <v>43</v>
      </c>
      <c r="E133" s="25" t="s">
        <v>174</v>
      </c>
    </row>
    <row r="134" spans="1:5">
      <c r="A134" t="s">
        <v>23</v>
      </c>
      <c r="B134" t="s">
        <v>23</v>
      </c>
      <c r="C134" t="s">
        <v>171</v>
      </c>
      <c r="D134" s="24" t="s">
        <v>43</v>
      </c>
      <c r="E134" s="25" t="s">
        <v>175</v>
      </c>
    </row>
    <row r="135" spans="1:5">
      <c r="A135" t="s">
        <v>23</v>
      </c>
      <c r="B135" t="s">
        <v>23</v>
      </c>
      <c r="C135" t="s">
        <v>171</v>
      </c>
      <c r="D135" s="24" t="s">
        <v>43</v>
      </c>
      <c r="E135" s="25" t="s">
        <v>176</v>
      </c>
    </row>
    <row r="136" spans="1:5">
      <c r="A136" t="s">
        <v>23</v>
      </c>
      <c r="B136" t="s">
        <v>23</v>
      </c>
      <c r="C136" t="s">
        <v>171</v>
      </c>
      <c r="D136" s="24" t="s">
        <v>43</v>
      </c>
      <c r="E136" s="25" t="s">
        <v>177</v>
      </c>
    </row>
    <row r="137" spans="1:5">
      <c r="A137" t="s">
        <v>23</v>
      </c>
      <c r="B137" t="s">
        <v>23</v>
      </c>
      <c r="C137" t="s">
        <v>171</v>
      </c>
      <c r="D137" s="24" t="s">
        <v>43</v>
      </c>
      <c r="E137" s="25" t="s">
        <v>178</v>
      </c>
    </row>
    <row r="138" spans="1:5">
      <c r="A138" t="s">
        <v>23</v>
      </c>
      <c r="B138" t="s">
        <v>23</v>
      </c>
      <c r="C138" t="s">
        <v>171</v>
      </c>
      <c r="D138" s="24" t="s">
        <v>43</v>
      </c>
      <c r="E138" s="25" t="s">
        <v>179</v>
      </c>
    </row>
    <row r="139" spans="1:5">
      <c r="E139" s="23" t="s">
        <v>180</v>
      </c>
    </row>
    <row r="140" spans="1:5">
      <c r="A140" t="s">
        <v>42</v>
      </c>
      <c r="B140" t="s">
        <v>42</v>
      </c>
      <c r="C140" t="s">
        <v>171</v>
      </c>
      <c r="D140" s="24" t="s">
        <v>43</v>
      </c>
      <c r="E140" s="25" t="s">
        <v>181</v>
      </c>
    </row>
    <row r="141" spans="1:5">
      <c r="A141" t="s">
        <v>42</v>
      </c>
      <c r="B141" t="s">
        <v>42</v>
      </c>
      <c r="C141" t="s">
        <v>171</v>
      </c>
      <c r="D141" s="24" t="s">
        <v>43</v>
      </c>
      <c r="E141" s="25" t="s">
        <v>182</v>
      </c>
    </row>
    <row r="142" spans="1:5">
      <c r="A142" t="s">
        <v>42</v>
      </c>
      <c r="B142" t="s">
        <v>42</v>
      </c>
      <c r="C142" t="s">
        <v>171</v>
      </c>
      <c r="D142" s="24" t="s">
        <v>43</v>
      </c>
      <c r="E142" s="25" t="s">
        <v>183</v>
      </c>
    </row>
    <row r="143" spans="1:5">
      <c r="A143" t="s">
        <v>42</v>
      </c>
      <c r="B143" t="s">
        <v>42</v>
      </c>
      <c r="C143" t="s">
        <v>171</v>
      </c>
      <c r="D143" s="24" t="s">
        <v>43</v>
      </c>
      <c r="E143" s="25" t="s">
        <v>184</v>
      </c>
    </row>
    <row r="144" spans="1:5">
      <c r="A144" t="s">
        <v>42</v>
      </c>
      <c r="B144" t="s">
        <v>42</v>
      </c>
      <c r="C144" t="s">
        <v>171</v>
      </c>
      <c r="D144" s="24" t="s">
        <v>43</v>
      </c>
      <c r="E144" s="25" t="s">
        <v>185</v>
      </c>
    </row>
    <row r="145" spans="1:5">
      <c r="A145" t="s">
        <v>42</v>
      </c>
      <c r="B145" t="s">
        <v>42</v>
      </c>
      <c r="C145" t="s">
        <v>171</v>
      </c>
      <c r="D145" s="24" t="s">
        <v>43</v>
      </c>
      <c r="E145" s="25" t="s">
        <v>186</v>
      </c>
    </row>
    <row r="146" spans="1:5">
      <c r="A146" t="s">
        <v>42</v>
      </c>
      <c r="B146" t="s">
        <v>42</v>
      </c>
      <c r="C146" t="s">
        <v>171</v>
      </c>
      <c r="D146" s="24" t="s">
        <v>43</v>
      </c>
      <c r="E146" s="25" t="s">
        <v>187</v>
      </c>
    </row>
    <row r="147" spans="1:5">
      <c r="A147" t="s">
        <v>42</v>
      </c>
      <c r="B147" t="s">
        <v>42</v>
      </c>
      <c r="C147" t="s">
        <v>171</v>
      </c>
      <c r="D147" s="24" t="s">
        <v>43</v>
      </c>
      <c r="E147" s="25" t="s">
        <v>188</v>
      </c>
    </row>
    <row r="148" spans="1:5">
      <c r="E148" s="23" t="s">
        <v>189</v>
      </c>
    </row>
    <row r="149" spans="1:5">
      <c r="A149" t="s">
        <v>55</v>
      </c>
      <c r="B149" t="s">
        <v>55</v>
      </c>
      <c r="C149" t="s">
        <v>171</v>
      </c>
      <c r="D149" s="24" t="s">
        <v>43</v>
      </c>
      <c r="E149" s="25" t="s">
        <v>190</v>
      </c>
    </row>
    <row r="150" spans="1:5">
      <c r="A150" t="s">
        <v>55</v>
      </c>
      <c r="B150" t="s">
        <v>55</v>
      </c>
      <c r="C150" t="s">
        <v>171</v>
      </c>
      <c r="D150" s="24" t="s">
        <v>43</v>
      </c>
      <c r="E150" s="25" t="s">
        <v>191</v>
      </c>
    </row>
    <row r="151" spans="1:5">
      <c r="A151" t="s">
        <v>55</v>
      </c>
      <c r="B151" t="s">
        <v>55</v>
      </c>
      <c r="C151" t="s">
        <v>171</v>
      </c>
      <c r="D151" s="24" t="s">
        <v>43</v>
      </c>
      <c r="E151" s="25" t="s">
        <v>192</v>
      </c>
    </row>
    <row r="152" spans="1:5">
      <c r="A152" t="s">
        <v>55</v>
      </c>
      <c r="B152" t="s">
        <v>55</v>
      </c>
      <c r="C152" t="s">
        <v>171</v>
      </c>
      <c r="D152" s="24" t="s">
        <v>43</v>
      </c>
      <c r="E152" s="25" t="s">
        <v>193</v>
      </c>
    </row>
    <row r="153" spans="1:5">
      <c r="A153" t="s">
        <v>55</v>
      </c>
      <c r="B153" t="s">
        <v>55</v>
      </c>
      <c r="C153" t="s">
        <v>171</v>
      </c>
      <c r="D153" s="24" t="s">
        <v>43</v>
      </c>
      <c r="E153" s="25" t="s">
        <v>194</v>
      </c>
    </row>
    <row r="154" spans="1:5">
      <c r="A154" t="s">
        <v>55</v>
      </c>
      <c r="B154" t="s">
        <v>55</v>
      </c>
      <c r="C154" t="s">
        <v>171</v>
      </c>
      <c r="D154" s="24" t="s">
        <v>43</v>
      </c>
      <c r="E154" s="25" t="s">
        <v>195</v>
      </c>
    </row>
    <row r="155" spans="1:5">
      <c r="A155" t="s">
        <v>55</v>
      </c>
      <c r="B155" t="s">
        <v>55</v>
      </c>
      <c r="C155" t="s">
        <v>171</v>
      </c>
      <c r="D155" s="24" t="s">
        <v>43</v>
      </c>
      <c r="E155" s="25" t="s">
        <v>196</v>
      </c>
    </row>
    <row r="156" spans="1:5">
      <c r="A156" t="s">
        <v>55</v>
      </c>
      <c r="B156" t="s">
        <v>55</v>
      </c>
      <c r="C156" t="s">
        <v>171</v>
      </c>
      <c r="D156" s="24" t="s">
        <v>43</v>
      </c>
      <c r="E156" s="25" t="s">
        <v>197</v>
      </c>
    </row>
    <row r="157" spans="1:5">
      <c r="A157" t="s">
        <v>55</v>
      </c>
      <c r="B157" t="s">
        <v>55</v>
      </c>
      <c r="C157" t="s">
        <v>171</v>
      </c>
      <c r="D157" s="24" t="s">
        <v>43</v>
      </c>
      <c r="E157" s="25" t="s">
        <v>198</v>
      </c>
    </row>
    <row r="158" spans="1:5">
      <c r="A158" t="s">
        <v>55</v>
      </c>
      <c r="B158" t="s">
        <v>55</v>
      </c>
      <c r="C158" t="s">
        <v>171</v>
      </c>
      <c r="D158" s="24" t="s">
        <v>43</v>
      </c>
      <c r="E158" s="25" t="s">
        <v>199</v>
      </c>
    </row>
    <row r="159" spans="1:5" ht="17">
      <c r="E159" s="22" t="s">
        <v>200</v>
      </c>
    </row>
    <row r="160" spans="1:5" ht="17">
      <c r="E160" s="22" t="s">
        <v>201</v>
      </c>
    </row>
    <row r="161" spans="1:5">
      <c r="A161" t="s">
        <v>67</v>
      </c>
      <c r="B161" t="s">
        <v>67</v>
      </c>
      <c r="C161" t="s">
        <v>171</v>
      </c>
      <c r="D161" s="24" t="s">
        <v>43</v>
      </c>
      <c r="E161" s="25" t="s">
        <v>202</v>
      </c>
    </row>
    <row r="162" spans="1:5">
      <c r="A162" t="s">
        <v>67</v>
      </c>
      <c r="B162" t="s">
        <v>67</v>
      </c>
      <c r="C162" t="s">
        <v>171</v>
      </c>
      <c r="D162" s="24" t="s">
        <v>43</v>
      </c>
      <c r="E162" s="25" t="s">
        <v>203</v>
      </c>
    </row>
    <row r="163" spans="1:5">
      <c r="A163" t="s">
        <v>67</v>
      </c>
      <c r="B163" t="s">
        <v>67</v>
      </c>
      <c r="C163" t="s">
        <v>171</v>
      </c>
      <c r="D163" s="24" t="s">
        <v>43</v>
      </c>
      <c r="E163" s="25" t="s">
        <v>204</v>
      </c>
    </row>
    <row r="164" spans="1:5">
      <c r="A164" t="s">
        <v>67</v>
      </c>
      <c r="B164" t="s">
        <v>67</v>
      </c>
      <c r="C164" t="s">
        <v>171</v>
      </c>
      <c r="D164" s="24" t="s">
        <v>43</v>
      </c>
      <c r="E164" s="25" t="s">
        <v>205</v>
      </c>
    </row>
    <row r="165" spans="1:5">
      <c r="A165" t="s">
        <v>67</v>
      </c>
      <c r="B165" t="s">
        <v>67</v>
      </c>
      <c r="C165" t="s">
        <v>171</v>
      </c>
      <c r="D165" s="24" t="s">
        <v>43</v>
      </c>
      <c r="E165" s="25" t="s">
        <v>206</v>
      </c>
    </row>
    <row r="166" spans="1:5">
      <c r="A166" t="s">
        <v>67</v>
      </c>
      <c r="B166" t="s">
        <v>67</v>
      </c>
      <c r="C166" t="s">
        <v>171</v>
      </c>
      <c r="D166" s="24" t="s">
        <v>43</v>
      </c>
      <c r="E166" s="25" t="s">
        <v>207</v>
      </c>
    </row>
    <row r="167" spans="1:5">
      <c r="A167" t="s">
        <v>67</v>
      </c>
      <c r="B167" t="s">
        <v>67</v>
      </c>
      <c r="C167" t="s">
        <v>171</v>
      </c>
      <c r="D167" s="24" t="s">
        <v>43</v>
      </c>
      <c r="E167" s="25" t="s">
        <v>208</v>
      </c>
    </row>
    <row r="168" spans="1:5">
      <c r="A168" t="s">
        <v>67</v>
      </c>
      <c r="B168" t="s">
        <v>67</v>
      </c>
      <c r="C168" t="s">
        <v>171</v>
      </c>
      <c r="D168" s="24" t="s">
        <v>43</v>
      </c>
      <c r="E168" s="25" t="s">
        <v>209</v>
      </c>
    </row>
    <row r="169" spans="1:5">
      <c r="A169" t="s">
        <v>67</v>
      </c>
      <c r="B169" t="s">
        <v>67</v>
      </c>
      <c r="C169" t="s">
        <v>171</v>
      </c>
      <c r="D169" s="24" t="s">
        <v>43</v>
      </c>
      <c r="E169" s="25" t="s">
        <v>210</v>
      </c>
    </row>
    <row r="170" spans="1:5">
      <c r="A170" t="s">
        <v>67</v>
      </c>
      <c r="B170" t="s">
        <v>67</v>
      </c>
      <c r="C170" t="s">
        <v>171</v>
      </c>
      <c r="D170" s="24" t="s">
        <v>43</v>
      </c>
      <c r="E170" s="25" t="s">
        <v>211</v>
      </c>
    </row>
    <row r="171" spans="1:5">
      <c r="A171" t="s">
        <v>67</v>
      </c>
      <c r="B171" t="s">
        <v>67</v>
      </c>
      <c r="C171" t="s">
        <v>171</v>
      </c>
      <c r="D171" s="24" t="s">
        <v>43</v>
      </c>
      <c r="E171" s="25" t="s">
        <v>212</v>
      </c>
    </row>
    <row r="172" spans="1:5">
      <c r="A172" t="s">
        <v>67</v>
      </c>
      <c r="B172" t="s">
        <v>67</v>
      </c>
      <c r="C172" t="s">
        <v>171</v>
      </c>
      <c r="D172" s="24" t="s">
        <v>43</v>
      </c>
      <c r="E172" s="25" t="s">
        <v>213</v>
      </c>
    </row>
    <row r="173" spans="1:5">
      <c r="A173" t="s">
        <v>67</v>
      </c>
      <c r="B173" t="s">
        <v>67</v>
      </c>
      <c r="C173" t="s">
        <v>171</v>
      </c>
      <c r="D173" s="24" t="s">
        <v>43</v>
      </c>
      <c r="E173" s="25" t="s">
        <v>214</v>
      </c>
    </row>
    <row r="174" spans="1:5">
      <c r="E174" s="23" t="s">
        <v>215</v>
      </c>
    </row>
    <row r="175" spans="1:5">
      <c r="A175" t="s">
        <v>81</v>
      </c>
      <c r="B175" t="s">
        <v>81</v>
      </c>
      <c r="C175" t="s">
        <v>171</v>
      </c>
      <c r="D175" s="24" t="s">
        <v>43</v>
      </c>
      <c r="E175" s="25" t="s">
        <v>216</v>
      </c>
    </row>
    <row r="176" spans="1:5">
      <c r="A176" t="s">
        <v>81</v>
      </c>
      <c r="B176" t="s">
        <v>81</v>
      </c>
      <c r="C176" t="s">
        <v>171</v>
      </c>
      <c r="D176" s="24" t="s">
        <v>43</v>
      </c>
      <c r="E176" s="25" t="s">
        <v>217</v>
      </c>
    </row>
    <row r="177" spans="1:5">
      <c r="A177" t="s">
        <v>81</v>
      </c>
      <c r="B177" t="s">
        <v>81</v>
      </c>
      <c r="C177" t="s">
        <v>171</v>
      </c>
      <c r="D177" s="24" t="s">
        <v>43</v>
      </c>
      <c r="E177" s="25" t="s">
        <v>218</v>
      </c>
    </row>
    <row r="178" spans="1:5">
      <c r="A178" t="s">
        <v>81</v>
      </c>
      <c r="B178" t="s">
        <v>81</v>
      </c>
      <c r="C178" t="s">
        <v>171</v>
      </c>
      <c r="D178" s="24" t="s">
        <v>43</v>
      </c>
      <c r="E178" s="25" t="s">
        <v>219</v>
      </c>
    </row>
    <row r="179" spans="1:5">
      <c r="A179" t="s">
        <v>81</v>
      </c>
      <c r="B179" t="s">
        <v>81</v>
      </c>
      <c r="C179" t="s">
        <v>171</v>
      </c>
      <c r="D179" s="24" t="s">
        <v>43</v>
      </c>
      <c r="E179" s="25" t="s">
        <v>220</v>
      </c>
    </row>
    <row r="180" spans="1:5">
      <c r="A180" t="s">
        <v>81</v>
      </c>
      <c r="B180" t="s">
        <v>81</v>
      </c>
      <c r="C180" t="s">
        <v>171</v>
      </c>
      <c r="D180" s="24" t="s">
        <v>43</v>
      </c>
      <c r="E180" s="25" t="s">
        <v>221</v>
      </c>
    </row>
    <row r="181" spans="1:5" ht="17">
      <c r="E181" s="22" t="s">
        <v>222</v>
      </c>
    </row>
    <row r="182" spans="1:5">
      <c r="A182" t="s">
        <v>91</v>
      </c>
      <c r="B182" t="s">
        <v>91</v>
      </c>
      <c r="C182" t="s">
        <v>171</v>
      </c>
      <c r="D182" s="24" t="s">
        <v>43</v>
      </c>
      <c r="E182" s="25" t="s">
        <v>223</v>
      </c>
    </row>
    <row r="183" spans="1:5">
      <c r="A183" t="s">
        <v>91</v>
      </c>
      <c r="B183" t="s">
        <v>91</v>
      </c>
      <c r="C183" t="s">
        <v>171</v>
      </c>
      <c r="D183" s="24" t="s">
        <v>43</v>
      </c>
      <c r="E183" s="25" t="s">
        <v>224</v>
      </c>
    </row>
    <row r="184" spans="1:5">
      <c r="A184" t="s">
        <v>91</v>
      </c>
      <c r="B184" t="s">
        <v>91</v>
      </c>
      <c r="C184" t="s">
        <v>171</v>
      </c>
      <c r="D184" s="24" t="s">
        <v>43</v>
      </c>
      <c r="E184" s="25" t="s">
        <v>225</v>
      </c>
    </row>
    <row r="185" spans="1:5">
      <c r="A185" t="s">
        <v>91</v>
      </c>
      <c r="B185" t="s">
        <v>91</v>
      </c>
      <c r="C185" t="s">
        <v>171</v>
      </c>
      <c r="D185" s="24" t="s">
        <v>43</v>
      </c>
      <c r="E185" s="25" t="s">
        <v>226</v>
      </c>
    </row>
    <row r="186" spans="1:5">
      <c r="A186" t="s">
        <v>91</v>
      </c>
      <c r="B186" t="s">
        <v>91</v>
      </c>
      <c r="C186" t="s">
        <v>171</v>
      </c>
      <c r="D186" s="24" t="s">
        <v>43</v>
      </c>
      <c r="E186" s="25" t="s">
        <v>227</v>
      </c>
    </row>
    <row r="187" spans="1:5">
      <c r="A187" t="s">
        <v>91</v>
      </c>
      <c r="B187" t="s">
        <v>91</v>
      </c>
      <c r="C187" t="s">
        <v>171</v>
      </c>
      <c r="D187" s="24" t="s">
        <v>43</v>
      </c>
      <c r="E187" s="25" t="s">
        <v>228</v>
      </c>
    </row>
    <row r="188" spans="1:5" ht="17">
      <c r="E188" s="22" t="s">
        <v>229</v>
      </c>
    </row>
    <row r="189" spans="1:5">
      <c r="E189" s="27" t="s">
        <v>230</v>
      </c>
    </row>
    <row r="190" spans="1:5">
      <c r="A190" t="s">
        <v>96</v>
      </c>
      <c r="B190" t="s">
        <v>97</v>
      </c>
      <c r="C190" t="s">
        <v>171</v>
      </c>
      <c r="D190" s="24" t="s">
        <v>43</v>
      </c>
      <c r="E190" s="26" t="s">
        <v>231</v>
      </c>
    </row>
    <row r="191" spans="1:5">
      <c r="A191" t="s">
        <v>96</v>
      </c>
      <c r="B191" t="s">
        <v>97</v>
      </c>
      <c r="C191" t="s">
        <v>171</v>
      </c>
      <c r="D191" s="24" t="s">
        <v>43</v>
      </c>
      <c r="E191" s="26" t="s">
        <v>232</v>
      </c>
    </row>
    <row r="192" spans="1:5">
      <c r="A192" t="s">
        <v>96</v>
      </c>
      <c r="B192" t="s">
        <v>97</v>
      </c>
      <c r="C192" t="s">
        <v>171</v>
      </c>
      <c r="D192" s="24" t="s">
        <v>43</v>
      </c>
      <c r="E192" s="26" t="s">
        <v>233</v>
      </c>
    </row>
    <row r="193" spans="1:5">
      <c r="A193" t="s">
        <v>96</v>
      </c>
      <c r="B193" t="s">
        <v>97</v>
      </c>
      <c r="C193" t="s">
        <v>171</v>
      </c>
      <c r="D193" s="24" t="s">
        <v>43</v>
      </c>
      <c r="E193" s="26" t="s">
        <v>234</v>
      </c>
    </row>
    <row r="194" spans="1:5">
      <c r="A194" t="s">
        <v>96</v>
      </c>
      <c r="B194" t="s">
        <v>97</v>
      </c>
      <c r="C194" t="s">
        <v>171</v>
      </c>
      <c r="D194" s="24" t="s">
        <v>43</v>
      </c>
      <c r="E194" s="26" t="s">
        <v>235</v>
      </c>
    </row>
    <row r="195" spans="1:5">
      <c r="A195" t="s">
        <v>96</v>
      </c>
      <c r="B195" t="s">
        <v>97</v>
      </c>
      <c r="C195" t="s">
        <v>171</v>
      </c>
      <c r="D195" s="24" t="s">
        <v>43</v>
      </c>
      <c r="E195" s="26" t="s">
        <v>236</v>
      </c>
    </row>
    <row r="196" spans="1:5">
      <c r="A196" t="s">
        <v>96</v>
      </c>
      <c r="B196" t="s">
        <v>97</v>
      </c>
      <c r="C196" t="s">
        <v>171</v>
      </c>
      <c r="D196" s="24" t="s">
        <v>43</v>
      </c>
      <c r="E196" s="26" t="s">
        <v>237</v>
      </c>
    </row>
    <row r="197" spans="1:5" ht="17">
      <c r="E197" s="22" t="s">
        <v>238</v>
      </c>
    </row>
    <row r="198" spans="1:5">
      <c r="A198" t="s">
        <v>105</v>
      </c>
      <c r="B198" t="s">
        <v>105</v>
      </c>
      <c r="C198" t="s">
        <v>171</v>
      </c>
      <c r="D198" s="24" t="s">
        <v>43</v>
      </c>
      <c r="E198" s="26" t="s">
        <v>239</v>
      </c>
    </row>
    <row r="199" spans="1:5">
      <c r="A199" t="s">
        <v>105</v>
      </c>
      <c r="B199" t="s">
        <v>105</v>
      </c>
      <c r="C199" t="s">
        <v>171</v>
      </c>
      <c r="D199" s="24" t="s">
        <v>43</v>
      </c>
      <c r="E199" s="26" t="s">
        <v>240</v>
      </c>
    </row>
    <row r="200" spans="1:5">
      <c r="A200" t="s">
        <v>105</v>
      </c>
      <c r="B200" t="s">
        <v>105</v>
      </c>
      <c r="C200" t="s">
        <v>171</v>
      </c>
      <c r="D200" s="24" t="s">
        <v>43</v>
      </c>
      <c r="E200" s="25" t="s">
        <v>241</v>
      </c>
    </row>
    <row r="201" spans="1:5" ht="17">
      <c r="E201" s="22" t="s">
        <v>242</v>
      </c>
    </row>
    <row r="202" spans="1:5">
      <c r="E202" s="23" t="s">
        <v>243</v>
      </c>
    </row>
    <row r="203" spans="1:5">
      <c r="A203" t="s">
        <v>109</v>
      </c>
      <c r="B203" t="s">
        <v>110</v>
      </c>
      <c r="C203" t="s">
        <v>171</v>
      </c>
      <c r="D203" s="24" t="s">
        <v>43</v>
      </c>
      <c r="E203" s="25" t="s">
        <v>244</v>
      </c>
    </row>
    <row r="204" spans="1:5">
      <c r="A204" t="s">
        <v>109</v>
      </c>
      <c r="B204" t="s">
        <v>110</v>
      </c>
      <c r="C204" t="s">
        <v>171</v>
      </c>
      <c r="D204" s="24" t="s">
        <v>43</v>
      </c>
      <c r="E204" s="25" t="s">
        <v>245</v>
      </c>
    </row>
    <row r="205" spans="1:5">
      <c r="A205" t="s">
        <v>109</v>
      </c>
      <c r="B205" t="s">
        <v>110</v>
      </c>
      <c r="C205" t="s">
        <v>171</v>
      </c>
      <c r="D205" s="24" t="s">
        <v>43</v>
      </c>
      <c r="E205" s="25" t="s">
        <v>246</v>
      </c>
    </row>
    <row r="206" spans="1:5">
      <c r="A206" t="s">
        <v>109</v>
      </c>
      <c r="B206" t="s">
        <v>110</v>
      </c>
      <c r="C206" t="s">
        <v>171</v>
      </c>
      <c r="D206" s="24" t="s">
        <v>43</v>
      </c>
      <c r="E206" s="25" t="s">
        <v>247</v>
      </c>
    </row>
    <row r="207" spans="1:5">
      <c r="A207" t="s">
        <v>109</v>
      </c>
      <c r="B207" t="s">
        <v>110</v>
      </c>
      <c r="C207" t="s">
        <v>171</v>
      </c>
      <c r="D207" s="24" t="s">
        <v>43</v>
      </c>
      <c r="E207" s="25" t="s">
        <v>248</v>
      </c>
    </row>
    <row r="208" spans="1:5">
      <c r="A208" t="s">
        <v>109</v>
      </c>
      <c r="B208" t="s">
        <v>110</v>
      </c>
      <c r="C208" t="s">
        <v>171</v>
      </c>
      <c r="D208" s="24" t="s">
        <v>43</v>
      </c>
      <c r="E208" s="25" t="s">
        <v>249</v>
      </c>
    </row>
    <row r="209" spans="1:5">
      <c r="A209" t="s">
        <v>109</v>
      </c>
      <c r="B209" t="s">
        <v>110</v>
      </c>
      <c r="C209" t="s">
        <v>171</v>
      </c>
      <c r="D209" s="24" t="s">
        <v>43</v>
      </c>
      <c r="E209" s="25" t="s">
        <v>250</v>
      </c>
    </row>
    <row r="210" spans="1:5">
      <c r="A210" t="s">
        <v>109</v>
      </c>
      <c r="B210" t="s">
        <v>110</v>
      </c>
      <c r="C210" t="s">
        <v>171</v>
      </c>
      <c r="D210" s="24" t="s">
        <v>43</v>
      </c>
      <c r="E210" s="25" t="s">
        <v>251</v>
      </c>
    </row>
    <row r="211" spans="1:5">
      <c r="A211" t="s">
        <v>109</v>
      </c>
      <c r="B211" t="s">
        <v>110</v>
      </c>
      <c r="C211" t="s">
        <v>171</v>
      </c>
      <c r="D211" s="24" t="s">
        <v>43</v>
      </c>
      <c r="E211" s="25" t="s">
        <v>252</v>
      </c>
    </row>
    <row r="212" spans="1:5">
      <c r="A212" t="s">
        <v>109</v>
      </c>
      <c r="B212" t="s">
        <v>110</v>
      </c>
      <c r="C212" t="s">
        <v>171</v>
      </c>
      <c r="D212" s="24" t="s">
        <v>43</v>
      </c>
      <c r="E212" s="25" t="s">
        <v>253</v>
      </c>
    </row>
    <row r="213" spans="1:5">
      <c r="A213" t="s">
        <v>109</v>
      </c>
      <c r="B213" t="s">
        <v>110</v>
      </c>
      <c r="C213" t="s">
        <v>171</v>
      </c>
      <c r="D213" s="24" t="s">
        <v>43</v>
      </c>
      <c r="E213" s="25" t="s">
        <v>254</v>
      </c>
    </row>
    <row r="214" spans="1:5">
      <c r="A214" t="s">
        <v>109</v>
      </c>
      <c r="B214" t="s">
        <v>110</v>
      </c>
      <c r="C214" t="s">
        <v>171</v>
      </c>
      <c r="D214" s="24" t="s">
        <v>43</v>
      </c>
      <c r="E214" s="25" t="s">
        <v>255</v>
      </c>
    </row>
    <row r="215" spans="1:5">
      <c r="A215" t="s">
        <v>109</v>
      </c>
      <c r="B215" t="s">
        <v>110</v>
      </c>
      <c r="C215" t="s">
        <v>171</v>
      </c>
      <c r="D215" s="24" t="s">
        <v>43</v>
      </c>
      <c r="E215" s="25" t="s">
        <v>256</v>
      </c>
    </row>
    <row r="216" spans="1:5">
      <c r="A216" t="s">
        <v>109</v>
      </c>
      <c r="B216" t="s">
        <v>110</v>
      </c>
      <c r="C216" t="s">
        <v>171</v>
      </c>
      <c r="D216" s="24" t="s">
        <v>43</v>
      </c>
      <c r="E216" s="25" t="s">
        <v>257</v>
      </c>
    </row>
    <row r="217" spans="1:5">
      <c r="A217" t="s">
        <v>109</v>
      </c>
      <c r="B217" t="s">
        <v>110</v>
      </c>
      <c r="C217" t="s">
        <v>171</v>
      </c>
      <c r="D217" s="24" t="s">
        <v>43</v>
      </c>
      <c r="E217" s="25" t="s">
        <v>258</v>
      </c>
    </row>
    <row r="218" spans="1:5">
      <c r="A218" t="s">
        <v>109</v>
      </c>
      <c r="B218" t="s">
        <v>110</v>
      </c>
      <c r="C218" t="s">
        <v>171</v>
      </c>
      <c r="D218" s="24" t="s">
        <v>43</v>
      </c>
      <c r="E218" s="25" t="s">
        <v>259</v>
      </c>
    </row>
    <row r="219" spans="1:5">
      <c r="A219" t="s">
        <v>109</v>
      </c>
      <c r="B219" t="s">
        <v>110</v>
      </c>
      <c r="C219" t="s">
        <v>171</v>
      </c>
      <c r="D219" s="24" t="s">
        <v>43</v>
      </c>
      <c r="E219" s="25" t="s">
        <v>260</v>
      </c>
    </row>
    <row r="220" spans="1:5">
      <c r="A220" t="s">
        <v>109</v>
      </c>
      <c r="B220" t="s">
        <v>110</v>
      </c>
      <c r="C220" t="s">
        <v>171</v>
      </c>
      <c r="D220" s="24" t="s">
        <v>43</v>
      </c>
      <c r="E220" s="25" t="s">
        <v>261</v>
      </c>
    </row>
    <row r="221" spans="1:5">
      <c r="A221" t="s">
        <v>109</v>
      </c>
      <c r="B221" t="s">
        <v>110</v>
      </c>
      <c r="C221" t="s">
        <v>171</v>
      </c>
      <c r="D221" s="24" t="s">
        <v>43</v>
      </c>
      <c r="E221" s="25" t="s">
        <v>262</v>
      </c>
    </row>
    <row r="222" spans="1:5">
      <c r="A222" t="s">
        <v>109</v>
      </c>
      <c r="B222" t="s">
        <v>110</v>
      </c>
      <c r="C222" t="s">
        <v>171</v>
      </c>
      <c r="D222" s="24" t="s">
        <v>43</v>
      </c>
      <c r="E222" s="25" t="s">
        <v>263</v>
      </c>
    </row>
    <row r="223" spans="1:5">
      <c r="A223" t="s">
        <v>109</v>
      </c>
      <c r="B223" t="s">
        <v>110</v>
      </c>
      <c r="C223" t="s">
        <v>171</v>
      </c>
      <c r="D223" s="24" t="s">
        <v>43</v>
      </c>
      <c r="E223" s="25" t="s">
        <v>264</v>
      </c>
    </row>
    <row r="224" spans="1:5">
      <c r="A224" t="s">
        <v>109</v>
      </c>
      <c r="B224" t="s">
        <v>110</v>
      </c>
      <c r="C224" t="s">
        <v>171</v>
      </c>
      <c r="D224" s="24" t="s">
        <v>43</v>
      </c>
      <c r="E224" s="25" t="s">
        <v>265</v>
      </c>
    </row>
    <row r="225" spans="1:5">
      <c r="A225" t="s">
        <v>109</v>
      </c>
      <c r="B225" t="s">
        <v>110</v>
      </c>
      <c r="C225" t="s">
        <v>171</v>
      </c>
      <c r="D225" s="24" t="s">
        <v>43</v>
      </c>
      <c r="E225" s="25" t="s">
        <v>266</v>
      </c>
    </row>
    <row r="226" spans="1:5">
      <c r="A226" t="s">
        <v>109</v>
      </c>
      <c r="B226" t="s">
        <v>110</v>
      </c>
      <c r="C226" t="s">
        <v>171</v>
      </c>
      <c r="D226" s="24" t="s">
        <v>43</v>
      </c>
      <c r="E226" s="25" t="s">
        <v>267</v>
      </c>
    </row>
    <row r="227" spans="1:5">
      <c r="E227" s="23" t="s">
        <v>117</v>
      </c>
    </row>
    <row r="228" spans="1:5">
      <c r="A228" t="s">
        <v>109</v>
      </c>
      <c r="B228" t="s">
        <v>118</v>
      </c>
      <c r="C228" t="s">
        <v>171</v>
      </c>
      <c r="D228" s="24" t="s">
        <v>43</v>
      </c>
      <c r="E228" s="25" t="s">
        <v>268</v>
      </c>
    </row>
    <row r="229" spans="1:5">
      <c r="A229" t="s">
        <v>109</v>
      </c>
      <c r="B229" t="s">
        <v>118</v>
      </c>
      <c r="C229" t="s">
        <v>171</v>
      </c>
      <c r="D229" s="24" t="s">
        <v>43</v>
      </c>
      <c r="E229" s="25" t="s">
        <v>269</v>
      </c>
    </row>
    <row r="230" spans="1:5">
      <c r="A230" t="s">
        <v>109</v>
      </c>
      <c r="B230" t="s">
        <v>118</v>
      </c>
      <c r="C230" t="s">
        <v>171</v>
      </c>
      <c r="D230" s="24" t="s">
        <v>43</v>
      </c>
      <c r="E230" s="25" t="s">
        <v>270</v>
      </c>
    </row>
    <row r="231" spans="1:5">
      <c r="A231" t="s">
        <v>109</v>
      </c>
      <c r="B231" t="s">
        <v>118</v>
      </c>
      <c r="C231" t="s">
        <v>171</v>
      </c>
      <c r="D231" s="24" t="s">
        <v>43</v>
      </c>
      <c r="E231" s="25" t="s">
        <v>271</v>
      </c>
    </row>
    <row r="232" spans="1:5">
      <c r="E232" s="23" t="s">
        <v>272</v>
      </c>
    </row>
    <row r="233" spans="1:5">
      <c r="A233" t="s">
        <v>109</v>
      </c>
      <c r="B233" s="8" t="s">
        <v>124</v>
      </c>
      <c r="C233" t="s">
        <v>171</v>
      </c>
      <c r="D233" s="24" t="s">
        <v>43</v>
      </c>
      <c r="E233" s="25" t="s">
        <v>273</v>
      </c>
    </row>
    <row r="234" spans="1:5">
      <c r="A234" t="s">
        <v>109</v>
      </c>
      <c r="B234" s="8" t="s">
        <v>124</v>
      </c>
      <c r="C234" t="s">
        <v>171</v>
      </c>
      <c r="D234" s="24" t="s">
        <v>43</v>
      </c>
      <c r="E234" s="25" t="s">
        <v>274</v>
      </c>
    </row>
    <row r="235" spans="1:5">
      <c r="A235" t="s">
        <v>109</v>
      </c>
      <c r="B235" s="8" t="s">
        <v>124</v>
      </c>
      <c r="C235" t="s">
        <v>171</v>
      </c>
      <c r="D235" s="24" t="s">
        <v>43</v>
      </c>
      <c r="E235" s="25" t="s">
        <v>275</v>
      </c>
    </row>
    <row r="236" spans="1:5">
      <c r="A236" t="s">
        <v>109</v>
      </c>
      <c r="B236" s="8" t="s">
        <v>124</v>
      </c>
      <c r="C236" t="s">
        <v>171</v>
      </c>
      <c r="D236" s="24" t="s">
        <v>43</v>
      </c>
      <c r="E236" s="25" t="s">
        <v>276</v>
      </c>
    </row>
    <row r="237" spans="1:5">
      <c r="A237" t="s">
        <v>109</v>
      </c>
      <c r="B237" s="8" t="s">
        <v>124</v>
      </c>
      <c r="C237" t="s">
        <v>171</v>
      </c>
      <c r="D237" s="24" t="s">
        <v>43</v>
      </c>
      <c r="E237" s="25" t="s">
        <v>277</v>
      </c>
    </row>
    <row r="238" spans="1:5">
      <c r="A238" t="s">
        <v>109</v>
      </c>
      <c r="B238" s="8" t="s">
        <v>124</v>
      </c>
      <c r="C238" t="s">
        <v>171</v>
      </c>
      <c r="D238" s="24" t="s">
        <v>43</v>
      </c>
      <c r="E238" s="25" t="s">
        <v>278</v>
      </c>
    </row>
    <row r="239" spans="1:5">
      <c r="A239" t="s">
        <v>109</v>
      </c>
      <c r="B239" s="8" t="s">
        <v>124</v>
      </c>
      <c r="C239" t="s">
        <v>171</v>
      </c>
      <c r="D239" s="24" t="s">
        <v>43</v>
      </c>
      <c r="E239" s="25" t="s">
        <v>279</v>
      </c>
    </row>
    <row r="240" spans="1:5">
      <c r="A240" t="s">
        <v>109</v>
      </c>
      <c r="B240" s="8" t="s">
        <v>124</v>
      </c>
      <c r="C240" t="s">
        <v>171</v>
      </c>
      <c r="D240" s="24" t="s">
        <v>43</v>
      </c>
      <c r="E240" s="25" t="s">
        <v>280</v>
      </c>
    </row>
    <row r="241" spans="1:5" ht="17">
      <c r="E241" s="22" t="s">
        <v>281</v>
      </c>
    </row>
    <row r="242" spans="1:5">
      <c r="E242" s="23" t="s">
        <v>282</v>
      </c>
    </row>
    <row r="243" spans="1:5">
      <c r="A243" t="s">
        <v>134</v>
      </c>
      <c r="B243" t="s">
        <v>135</v>
      </c>
      <c r="C243" t="s">
        <v>171</v>
      </c>
      <c r="D243" s="24" t="s">
        <v>43</v>
      </c>
      <c r="E243" s="25" t="s">
        <v>283</v>
      </c>
    </row>
    <row r="244" spans="1:5">
      <c r="A244" t="s">
        <v>134</v>
      </c>
      <c r="B244" t="s">
        <v>135</v>
      </c>
      <c r="C244" t="s">
        <v>171</v>
      </c>
      <c r="D244" s="24" t="s">
        <v>43</v>
      </c>
      <c r="E244" s="25" t="s">
        <v>284</v>
      </c>
    </row>
    <row r="245" spans="1:5">
      <c r="A245" t="s">
        <v>134</v>
      </c>
      <c r="B245" t="s">
        <v>135</v>
      </c>
      <c r="C245" t="s">
        <v>171</v>
      </c>
      <c r="D245" s="24" t="s">
        <v>43</v>
      </c>
      <c r="E245" s="25" t="s">
        <v>285</v>
      </c>
    </row>
    <row r="246" spans="1:5">
      <c r="A246" t="s">
        <v>134</v>
      </c>
      <c r="B246" t="s">
        <v>135</v>
      </c>
      <c r="C246" t="s">
        <v>171</v>
      </c>
      <c r="D246" s="24" t="s">
        <v>43</v>
      </c>
      <c r="E246" s="25" t="s">
        <v>286</v>
      </c>
    </row>
    <row r="247" spans="1:5">
      <c r="A247" t="s">
        <v>134</v>
      </c>
      <c r="B247" t="s">
        <v>135</v>
      </c>
      <c r="C247" t="s">
        <v>171</v>
      </c>
      <c r="D247" s="24" t="s">
        <v>43</v>
      </c>
      <c r="E247" s="25" t="s">
        <v>287</v>
      </c>
    </row>
    <row r="248" spans="1:5">
      <c r="E248" s="23" t="s">
        <v>288</v>
      </c>
    </row>
    <row r="249" spans="1:5">
      <c r="A249" t="s">
        <v>134</v>
      </c>
      <c r="B249" t="s">
        <v>144</v>
      </c>
      <c r="C249" t="s">
        <v>171</v>
      </c>
      <c r="D249" s="24" t="s">
        <v>43</v>
      </c>
      <c r="E249" s="25" t="s">
        <v>289</v>
      </c>
    </row>
    <row r="250" spans="1:5">
      <c r="A250" t="s">
        <v>134</v>
      </c>
      <c r="B250" t="s">
        <v>144</v>
      </c>
      <c r="C250" t="s">
        <v>171</v>
      </c>
      <c r="D250" s="24" t="s">
        <v>43</v>
      </c>
      <c r="E250" s="25" t="s">
        <v>290</v>
      </c>
    </row>
    <row r="251" spans="1:5">
      <c r="A251" t="s">
        <v>134</v>
      </c>
      <c r="B251" t="s">
        <v>144</v>
      </c>
      <c r="C251" t="s">
        <v>171</v>
      </c>
      <c r="D251" s="24" t="s">
        <v>43</v>
      </c>
      <c r="E251" s="25" t="s">
        <v>291</v>
      </c>
    </row>
    <row r="252" spans="1:5">
      <c r="A252" t="s">
        <v>134</v>
      </c>
      <c r="B252" t="s">
        <v>144</v>
      </c>
      <c r="C252" t="s">
        <v>171</v>
      </c>
      <c r="D252" s="24" t="s">
        <v>43</v>
      </c>
      <c r="E252" s="25" t="s">
        <v>292</v>
      </c>
    </row>
    <row r="253" spans="1:5">
      <c r="E253" s="23" t="s">
        <v>293</v>
      </c>
    </row>
    <row r="254" spans="1:5">
      <c r="A254" t="s">
        <v>134</v>
      </c>
      <c r="B254" t="s">
        <v>294</v>
      </c>
      <c r="C254" t="s">
        <v>171</v>
      </c>
      <c r="D254" s="24" t="s">
        <v>43</v>
      </c>
      <c r="E254" s="25" t="s">
        <v>295</v>
      </c>
    </row>
    <row r="255" spans="1:5">
      <c r="E255" s="23" t="s">
        <v>296</v>
      </c>
    </row>
    <row r="256" spans="1:5">
      <c r="A256" t="s">
        <v>134</v>
      </c>
      <c r="B256" t="s">
        <v>149</v>
      </c>
      <c r="C256" t="s">
        <v>171</v>
      </c>
      <c r="D256" s="24" t="s">
        <v>43</v>
      </c>
      <c r="E256" s="25" t="s">
        <v>297</v>
      </c>
    </row>
    <row r="257" spans="1:5">
      <c r="A257" t="s">
        <v>134</v>
      </c>
      <c r="B257" t="s">
        <v>149</v>
      </c>
      <c r="C257" t="s">
        <v>171</v>
      </c>
      <c r="D257" s="24" t="s">
        <v>43</v>
      </c>
      <c r="E257" s="25" t="s">
        <v>298</v>
      </c>
    </row>
    <row r="258" spans="1:5">
      <c r="A258" t="s">
        <v>134</v>
      </c>
      <c r="B258" t="s">
        <v>149</v>
      </c>
      <c r="C258" t="s">
        <v>171</v>
      </c>
      <c r="D258" s="24" t="s">
        <v>43</v>
      </c>
      <c r="E258" s="25" t="s">
        <v>299</v>
      </c>
    </row>
    <row r="259" spans="1:5">
      <c r="A259" t="s">
        <v>134</v>
      </c>
      <c r="B259" t="s">
        <v>149</v>
      </c>
      <c r="C259" t="s">
        <v>171</v>
      </c>
      <c r="D259" s="24" t="s">
        <v>43</v>
      </c>
      <c r="E259" s="25" t="s">
        <v>300</v>
      </c>
    </row>
    <row r="260" spans="1:5" ht="17">
      <c r="E260" s="22" t="s">
        <v>151</v>
      </c>
    </row>
    <row r="261" spans="1:5">
      <c r="A261" t="s">
        <v>152</v>
      </c>
      <c r="B261" t="s">
        <v>152</v>
      </c>
      <c r="C261" t="s">
        <v>171</v>
      </c>
      <c r="D261" s="24" t="s">
        <v>43</v>
      </c>
      <c r="E261" s="26" t="s">
        <v>301</v>
      </c>
    </row>
    <row r="262" spans="1:5">
      <c r="A262" t="s">
        <v>152</v>
      </c>
      <c r="B262" t="s">
        <v>152</v>
      </c>
      <c r="C262" t="s">
        <v>171</v>
      </c>
      <c r="D262" s="24" t="s">
        <v>43</v>
      </c>
      <c r="E262" s="26" t="s">
        <v>302</v>
      </c>
    </row>
    <row r="263" spans="1:5">
      <c r="A263" t="s">
        <v>152</v>
      </c>
      <c r="B263" t="s">
        <v>152</v>
      </c>
      <c r="C263" t="s">
        <v>171</v>
      </c>
      <c r="D263" s="24" t="s">
        <v>43</v>
      </c>
      <c r="E263" s="26" t="s">
        <v>303</v>
      </c>
    </row>
    <row r="264" spans="1:5">
      <c r="A264" t="s">
        <v>152</v>
      </c>
      <c r="B264" t="s">
        <v>152</v>
      </c>
      <c r="C264" t="s">
        <v>171</v>
      </c>
      <c r="D264" s="24" t="s">
        <v>43</v>
      </c>
      <c r="E264" s="26" t="s">
        <v>304</v>
      </c>
    </row>
    <row r="265" spans="1:5">
      <c r="A265" t="s">
        <v>152</v>
      </c>
      <c r="B265" t="s">
        <v>152</v>
      </c>
      <c r="C265" t="s">
        <v>171</v>
      </c>
      <c r="D265" s="24" t="s">
        <v>43</v>
      </c>
      <c r="E265" s="26" t="s">
        <v>305</v>
      </c>
    </row>
    <row r="266" spans="1:5" ht="17">
      <c r="E266" s="22" t="s">
        <v>306</v>
      </c>
    </row>
    <row r="267" spans="1:5">
      <c r="E267" s="23" t="s">
        <v>307</v>
      </c>
    </row>
    <row r="268" spans="1:5">
      <c r="A268" t="s">
        <v>160</v>
      </c>
      <c r="B268" t="s">
        <v>161</v>
      </c>
      <c r="C268" t="s">
        <v>171</v>
      </c>
      <c r="D268" s="24" t="s">
        <v>43</v>
      </c>
      <c r="E268" s="25" t="s">
        <v>308</v>
      </c>
    </row>
    <row r="269" spans="1:5">
      <c r="A269" t="s">
        <v>160</v>
      </c>
      <c r="B269" t="s">
        <v>161</v>
      </c>
      <c r="C269" t="s">
        <v>171</v>
      </c>
      <c r="D269" s="24" t="s">
        <v>43</v>
      </c>
      <c r="E269" s="25" t="s">
        <v>309</v>
      </c>
    </row>
    <row r="270" spans="1:5">
      <c r="A270" t="s">
        <v>160</v>
      </c>
      <c r="B270" t="s">
        <v>161</v>
      </c>
      <c r="C270" t="s">
        <v>171</v>
      </c>
      <c r="D270" s="24" t="s">
        <v>43</v>
      </c>
      <c r="E270" s="25" t="s">
        <v>310</v>
      </c>
    </row>
    <row r="271" spans="1:5">
      <c r="A271" t="s">
        <v>160</v>
      </c>
      <c r="B271" t="s">
        <v>161</v>
      </c>
      <c r="C271" t="s">
        <v>171</v>
      </c>
      <c r="D271" s="24" t="s">
        <v>43</v>
      </c>
      <c r="E271" s="25" t="s">
        <v>311</v>
      </c>
    </row>
    <row r="272" spans="1:5">
      <c r="A272" t="s">
        <v>160</v>
      </c>
      <c r="B272" t="s">
        <v>161</v>
      </c>
      <c r="C272" t="s">
        <v>171</v>
      </c>
      <c r="D272" s="24" t="s">
        <v>43</v>
      </c>
      <c r="E272" s="25" t="s">
        <v>312</v>
      </c>
    </row>
    <row r="273" spans="1:5">
      <c r="A273" t="s">
        <v>160</v>
      </c>
      <c r="B273" t="s">
        <v>161</v>
      </c>
      <c r="C273" t="s">
        <v>171</v>
      </c>
      <c r="D273" s="24" t="s">
        <v>43</v>
      </c>
      <c r="E273" s="25" t="s">
        <v>313</v>
      </c>
    </row>
    <row r="274" spans="1:5">
      <c r="E274" s="23" t="s">
        <v>314</v>
      </c>
    </row>
    <row r="275" spans="1:5">
      <c r="A275" t="s">
        <v>160</v>
      </c>
      <c r="B275" t="s">
        <v>165</v>
      </c>
      <c r="C275" t="s">
        <v>171</v>
      </c>
      <c r="D275" s="24" t="s">
        <v>43</v>
      </c>
      <c r="E275" s="25" t="s">
        <v>315</v>
      </c>
    </row>
    <row r="276" spans="1:5">
      <c r="A276" t="s">
        <v>160</v>
      </c>
      <c r="B276" t="s">
        <v>165</v>
      </c>
      <c r="C276" t="s">
        <v>171</v>
      </c>
      <c r="D276" s="24" t="s">
        <v>43</v>
      </c>
      <c r="E276" s="25" t="s">
        <v>316</v>
      </c>
    </row>
    <row r="277" spans="1:5">
      <c r="A277" t="s">
        <v>160</v>
      </c>
      <c r="B277" t="s">
        <v>165</v>
      </c>
      <c r="C277" t="s">
        <v>171</v>
      </c>
      <c r="D277" s="24" t="s">
        <v>43</v>
      </c>
      <c r="E277" s="25" t="s">
        <v>317</v>
      </c>
    </row>
    <row r="278" spans="1:5">
      <c r="A278" t="s">
        <v>160</v>
      </c>
      <c r="B278" t="s">
        <v>165</v>
      </c>
      <c r="C278" t="s">
        <v>171</v>
      </c>
      <c r="D278" s="24" t="s">
        <v>43</v>
      </c>
      <c r="E278" s="25" t="s">
        <v>318</v>
      </c>
    </row>
    <row r="279" spans="1:5">
      <c r="A279" t="s">
        <v>160</v>
      </c>
      <c r="B279" t="s">
        <v>165</v>
      </c>
      <c r="C279" t="s">
        <v>171</v>
      </c>
      <c r="D279" s="24" t="s">
        <v>43</v>
      </c>
      <c r="E279" s="25" t="s">
        <v>319</v>
      </c>
    </row>
    <row r="280" spans="1:5">
      <c r="A280" t="s">
        <v>160</v>
      </c>
      <c r="B280" t="s">
        <v>165</v>
      </c>
      <c r="C280" t="s">
        <v>171</v>
      </c>
      <c r="D280" s="24" t="s">
        <v>43</v>
      </c>
      <c r="E280" s="25" t="s">
        <v>320</v>
      </c>
    </row>
    <row r="281" spans="1:5">
      <c r="A281" t="s">
        <v>160</v>
      </c>
      <c r="B281" t="s">
        <v>165</v>
      </c>
      <c r="C281" t="s">
        <v>171</v>
      </c>
      <c r="D281" s="24" t="s">
        <v>43</v>
      </c>
      <c r="E281" s="25" t="s">
        <v>321</v>
      </c>
    </row>
    <row r="282" spans="1:5">
      <c r="A282" t="s">
        <v>160</v>
      </c>
      <c r="B282" t="s">
        <v>165</v>
      </c>
      <c r="C282" t="s">
        <v>171</v>
      </c>
      <c r="D282" s="24" t="s">
        <v>43</v>
      </c>
      <c r="E282" s="25" t="s">
        <v>322</v>
      </c>
    </row>
    <row r="283" spans="1:5" ht="19.5">
      <c r="E283" s="21" t="s">
        <v>323</v>
      </c>
    </row>
    <row r="284" spans="1:5" ht="17">
      <c r="E284" s="22" t="s">
        <v>324</v>
      </c>
    </row>
    <row r="285" spans="1:5">
      <c r="E285" s="23" t="s">
        <v>325</v>
      </c>
    </row>
    <row r="286" spans="1:5">
      <c r="A286" t="s">
        <v>23</v>
      </c>
      <c r="B286" t="s">
        <v>23</v>
      </c>
      <c r="C286" t="s">
        <v>326</v>
      </c>
      <c r="D286" s="24" t="s">
        <v>43</v>
      </c>
      <c r="E286" s="25" t="s">
        <v>327</v>
      </c>
    </row>
    <row r="287" spans="1:5">
      <c r="A287" t="s">
        <v>23</v>
      </c>
      <c r="B287" t="s">
        <v>23</v>
      </c>
      <c r="C287" t="s">
        <v>326</v>
      </c>
      <c r="D287" s="24" t="s">
        <v>43</v>
      </c>
      <c r="E287" s="25" t="s">
        <v>328</v>
      </c>
    </row>
    <row r="288" spans="1:5">
      <c r="A288" t="s">
        <v>23</v>
      </c>
      <c r="B288" t="s">
        <v>23</v>
      </c>
      <c r="C288" t="s">
        <v>326</v>
      </c>
      <c r="D288" s="24" t="s">
        <v>43</v>
      </c>
      <c r="E288" s="25" t="s">
        <v>329</v>
      </c>
    </row>
    <row r="289" spans="1:5">
      <c r="A289" t="s">
        <v>23</v>
      </c>
      <c r="B289" t="s">
        <v>23</v>
      </c>
      <c r="C289" t="s">
        <v>326</v>
      </c>
      <c r="D289" s="24" t="s">
        <v>43</v>
      </c>
      <c r="E289" s="25" t="s">
        <v>330</v>
      </c>
    </row>
    <row r="290" spans="1:5">
      <c r="A290" t="s">
        <v>23</v>
      </c>
      <c r="B290" t="s">
        <v>23</v>
      </c>
      <c r="C290" t="s">
        <v>326</v>
      </c>
      <c r="D290" s="24" t="s">
        <v>43</v>
      </c>
      <c r="E290" s="25" t="s">
        <v>331</v>
      </c>
    </row>
    <row r="291" spans="1:5">
      <c r="A291" t="s">
        <v>23</v>
      </c>
      <c r="B291" t="s">
        <v>23</v>
      </c>
      <c r="C291" t="s">
        <v>326</v>
      </c>
      <c r="D291" s="24" t="s">
        <v>43</v>
      </c>
      <c r="E291" s="25" t="s">
        <v>332</v>
      </c>
    </row>
    <row r="292" spans="1:5">
      <c r="A292" t="s">
        <v>23</v>
      </c>
      <c r="B292" t="s">
        <v>23</v>
      </c>
      <c r="C292" t="s">
        <v>326</v>
      </c>
      <c r="D292" s="24" t="s">
        <v>43</v>
      </c>
      <c r="E292" s="25" t="s">
        <v>333</v>
      </c>
    </row>
    <row r="293" spans="1:5">
      <c r="A293" t="s">
        <v>23</v>
      </c>
      <c r="B293" t="s">
        <v>23</v>
      </c>
      <c r="C293" t="s">
        <v>326</v>
      </c>
      <c r="D293" s="24" t="s">
        <v>43</v>
      </c>
      <c r="E293" s="25" t="s">
        <v>334</v>
      </c>
    </row>
    <row r="294" spans="1:5">
      <c r="A294" t="s">
        <v>23</v>
      </c>
      <c r="B294" t="s">
        <v>23</v>
      </c>
      <c r="C294" t="s">
        <v>326</v>
      </c>
      <c r="D294" s="24" t="s">
        <v>43</v>
      </c>
      <c r="E294" s="25" t="s">
        <v>335</v>
      </c>
    </row>
    <row r="295" spans="1:5">
      <c r="A295" t="s">
        <v>23</v>
      </c>
      <c r="B295" t="s">
        <v>23</v>
      </c>
      <c r="C295" t="s">
        <v>326</v>
      </c>
      <c r="D295" s="24" t="s">
        <v>43</v>
      </c>
      <c r="E295" s="25" t="s">
        <v>336</v>
      </c>
    </row>
    <row r="296" spans="1:5">
      <c r="A296" t="s">
        <v>23</v>
      </c>
      <c r="B296" t="s">
        <v>23</v>
      </c>
      <c r="C296" t="s">
        <v>326</v>
      </c>
      <c r="D296" s="24" t="s">
        <v>43</v>
      </c>
      <c r="E296" s="25" t="s">
        <v>337</v>
      </c>
    </row>
    <row r="297" spans="1:5">
      <c r="A297" t="s">
        <v>23</v>
      </c>
      <c r="B297" t="s">
        <v>23</v>
      </c>
      <c r="C297" t="s">
        <v>326</v>
      </c>
      <c r="D297" s="24" t="s">
        <v>43</v>
      </c>
      <c r="E297" s="25" t="s">
        <v>338</v>
      </c>
    </row>
    <row r="298" spans="1:5">
      <c r="A298" t="s">
        <v>23</v>
      </c>
      <c r="B298" t="s">
        <v>23</v>
      </c>
      <c r="C298" t="s">
        <v>326</v>
      </c>
      <c r="D298" s="24" t="s">
        <v>43</v>
      </c>
      <c r="E298" s="25" t="s">
        <v>339</v>
      </c>
    </row>
    <row r="299" spans="1:5">
      <c r="A299" t="s">
        <v>23</v>
      </c>
      <c r="B299" t="s">
        <v>23</v>
      </c>
      <c r="C299" t="s">
        <v>326</v>
      </c>
      <c r="D299" s="24" t="s">
        <v>43</v>
      </c>
      <c r="E299" s="25" t="s">
        <v>340</v>
      </c>
    </row>
    <row r="300" spans="1:5">
      <c r="A300" t="s">
        <v>23</v>
      </c>
      <c r="B300" t="s">
        <v>23</v>
      </c>
      <c r="C300" t="s">
        <v>326</v>
      </c>
      <c r="D300" s="24" t="s">
        <v>43</v>
      </c>
      <c r="E300" s="25" t="s">
        <v>341</v>
      </c>
    </row>
    <row r="301" spans="1:5">
      <c r="E301" s="23" t="s">
        <v>342</v>
      </c>
    </row>
    <row r="302" spans="1:5">
      <c r="A302" t="s">
        <v>42</v>
      </c>
      <c r="B302" t="s">
        <v>42</v>
      </c>
      <c r="C302" t="s">
        <v>326</v>
      </c>
      <c r="D302" s="24" t="s">
        <v>43</v>
      </c>
      <c r="E302" s="25" t="s">
        <v>343</v>
      </c>
    </row>
    <row r="303" spans="1:5">
      <c r="A303" t="s">
        <v>42</v>
      </c>
      <c r="B303" t="s">
        <v>42</v>
      </c>
      <c r="C303" t="s">
        <v>326</v>
      </c>
      <c r="D303" s="24" t="s">
        <v>43</v>
      </c>
      <c r="E303" s="25" t="s">
        <v>344</v>
      </c>
    </row>
    <row r="304" spans="1:5">
      <c r="A304" t="s">
        <v>42</v>
      </c>
      <c r="B304" t="s">
        <v>42</v>
      </c>
      <c r="C304" t="s">
        <v>326</v>
      </c>
      <c r="D304" s="24" t="s">
        <v>43</v>
      </c>
      <c r="E304" s="25" t="s">
        <v>345</v>
      </c>
    </row>
    <row r="305" spans="1:5">
      <c r="A305" t="s">
        <v>42</v>
      </c>
      <c r="B305" t="s">
        <v>42</v>
      </c>
      <c r="C305" t="s">
        <v>326</v>
      </c>
      <c r="D305" s="24" t="s">
        <v>43</v>
      </c>
      <c r="E305" s="25" t="s">
        <v>346</v>
      </c>
    </row>
    <row r="306" spans="1:5">
      <c r="A306" t="s">
        <v>42</v>
      </c>
      <c r="B306" t="s">
        <v>42</v>
      </c>
      <c r="C306" t="s">
        <v>326</v>
      </c>
      <c r="D306" s="24" t="s">
        <v>43</v>
      </c>
      <c r="E306" s="25" t="s">
        <v>347</v>
      </c>
    </row>
    <row r="307" spans="1:5">
      <c r="A307" t="s">
        <v>42</v>
      </c>
      <c r="B307" t="s">
        <v>42</v>
      </c>
      <c r="C307" t="s">
        <v>326</v>
      </c>
      <c r="D307" s="24" t="s">
        <v>43</v>
      </c>
      <c r="E307" s="25" t="s">
        <v>348</v>
      </c>
    </row>
    <row r="308" spans="1:5">
      <c r="A308" t="s">
        <v>42</v>
      </c>
      <c r="B308" t="s">
        <v>42</v>
      </c>
      <c r="C308" t="s">
        <v>326</v>
      </c>
      <c r="D308" s="24" t="s">
        <v>43</v>
      </c>
      <c r="E308" s="25" t="s">
        <v>349</v>
      </c>
    </row>
    <row r="309" spans="1:5">
      <c r="A309" t="s">
        <v>42</v>
      </c>
      <c r="B309" t="s">
        <v>42</v>
      </c>
      <c r="C309" t="s">
        <v>326</v>
      </c>
      <c r="D309" s="24" t="s">
        <v>43</v>
      </c>
      <c r="E309" s="25" t="s">
        <v>350</v>
      </c>
    </row>
    <row r="310" spans="1:5">
      <c r="A310" t="s">
        <v>42</v>
      </c>
      <c r="B310" t="s">
        <v>42</v>
      </c>
      <c r="C310" t="s">
        <v>326</v>
      </c>
      <c r="D310" s="24" t="s">
        <v>43</v>
      </c>
      <c r="E310" s="25" t="s">
        <v>351</v>
      </c>
    </row>
    <row r="311" spans="1:5">
      <c r="E311" s="23" t="s">
        <v>352</v>
      </c>
    </row>
    <row r="312" spans="1:5">
      <c r="A312" t="s">
        <v>55</v>
      </c>
      <c r="B312" t="s">
        <v>55</v>
      </c>
      <c r="C312" t="s">
        <v>326</v>
      </c>
      <c r="D312" s="24" t="s">
        <v>43</v>
      </c>
      <c r="E312" s="25" t="s">
        <v>353</v>
      </c>
    </row>
    <row r="313" spans="1:5">
      <c r="A313" t="s">
        <v>55</v>
      </c>
      <c r="B313" t="s">
        <v>55</v>
      </c>
      <c r="C313" t="s">
        <v>326</v>
      </c>
      <c r="D313" s="24" t="s">
        <v>43</v>
      </c>
      <c r="E313" s="25" t="s">
        <v>354</v>
      </c>
    </row>
    <row r="314" spans="1:5">
      <c r="A314" t="s">
        <v>55</v>
      </c>
      <c r="B314" t="s">
        <v>55</v>
      </c>
      <c r="C314" t="s">
        <v>326</v>
      </c>
      <c r="D314" s="24" t="s">
        <v>43</v>
      </c>
      <c r="E314" s="25" t="s">
        <v>355</v>
      </c>
    </row>
    <row r="315" spans="1:5">
      <c r="A315" t="s">
        <v>55</v>
      </c>
      <c r="B315" t="s">
        <v>55</v>
      </c>
      <c r="C315" t="s">
        <v>326</v>
      </c>
      <c r="D315" s="24" t="s">
        <v>43</v>
      </c>
      <c r="E315" s="25" t="s">
        <v>356</v>
      </c>
    </row>
    <row r="316" spans="1:5">
      <c r="A316" t="s">
        <v>55</v>
      </c>
      <c r="B316" t="s">
        <v>55</v>
      </c>
      <c r="C316" t="s">
        <v>326</v>
      </c>
      <c r="D316" s="24" t="s">
        <v>43</v>
      </c>
      <c r="E316" s="25" t="s">
        <v>357</v>
      </c>
    </row>
    <row r="317" spans="1:5">
      <c r="A317" t="s">
        <v>55</v>
      </c>
      <c r="B317" t="s">
        <v>55</v>
      </c>
      <c r="C317" t="s">
        <v>326</v>
      </c>
      <c r="D317" s="24" t="s">
        <v>43</v>
      </c>
      <c r="E317" s="25" t="s">
        <v>358</v>
      </c>
    </row>
    <row r="318" spans="1:5">
      <c r="A318" t="s">
        <v>55</v>
      </c>
      <c r="B318" t="s">
        <v>55</v>
      </c>
      <c r="C318" t="s">
        <v>326</v>
      </c>
      <c r="D318" s="24" t="s">
        <v>43</v>
      </c>
      <c r="E318" s="25" t="s">
        <v>359</v>
      </c>
    </row>
    <row r="319" spans="1:5">
      <c r="A319" t="s">
        <v>55</v>
      </c>
      <c r="B319" t="s">
        <v>55</v>
      </c>
      <c r="C319" t="s">
        <v>326</v>
      </c>
      <c r="D319" s="24" t="s">
        <v>43</v>
      </c>
      <c r="E319" s="25" t="s">
        <v>360</v>
      </c>
    </row>
    <row r="320" spans="1:5" ht="17">
      <c r="E320" s="22" t="s">
        <v>200</v>
      </c>
    </row>
    <row r="321" spans="1:5">
      <c r="E321" s="23" t="s">
        <v>361</v>
      </c>
    </row>
    <row r="322" spans="1:5">
      <c r="A322" t="s">
        <v>67</v>
      </c>
      <c r="B322" t="s">
        <v>67</v>
      </c>
      <c r="C322" t="s">
        <v>326</v>
      </c>
      <c r="D322" s="24" t="s">
        <v>43</v>
      </c>
      <c r="E322" s="25" t="s">
        <v>362</v>
      </c>
    </row>
    <row r="323" spans="1:5">
      <c r="A323" t="s">
        <v>67</v>
      </c>
      <c r="B323" t="s">
        <v>67</v>
      </c>
      <c r="C323" t="s">
        <v>326</v>
      </c>
      <c r="D323" s="24" t="s">
        <v>43</v>
      </c>
      <c r="E323" s="25" t="s">
        <v>363</v>
      </c>
    </row>
    <row r="324" spans="1:5">
      <c r="A324" t="s">
        <v>67</v>
      </c>
      <c r="B324" t="s">
        <v>67</v>
      </c>
      <c r="C324" t="s">
        <v>326</v>
      </c>
      <c r="D324" s="24" t="s">
        <v>43</v>
      </c>
      <c r="E324" s="25" t="s">
        <v>364</v>
      </c>
    </row>
    <row r="325" spans="1:5">
      <c r="A325" t="s">
        <v>67</v>
      </c>
      <c r="B325" t="s">
        <v>67</v>
      </c>
      <c r="C325" t="s">
        <v>326</v>
      </c>
      <c r="D325" s="24" t="s">
        <v>43</v>
      </c>
      <c r="E325" s="25" t="s">
        <v>365</v>
      </c>
    </row>
    <row r="326" spans="1:5">
      <c r="A326" t="s">
        <v>67</v>
      </c>
      <c r="B326" t="s">
        <v>67</v>
      </c>
      <c r="C326" t="s">
        <v>326</v>
      </c>
      <c r="D326" s="24" t="s">
        <v>43</v>
      </c>
      <c r="E326" s="25" t="s">
        <v>366</v>
      </c>
    </row>
    <row r="327" spans="1:5">
      <c r="A327" t="s">
        <v>67</v>
      </c>
      <c r="B327" t="s">
        <v>67</v>
      </c>
      <c r="C327" t="s">
        <v>326</v>
      </c>
      <c r="D327" s="24" t="s">
        <v>43</v>
      </c>
      <c r="E327" s="25" t="s">
        <v>367</v>
      </c>
    </row>
    <row r="328" spans="1:5">
      <c r="A328" t="s">
        <v>67</v>
      </c>
      <c r="B328" t="s">
        <v>67</v>
      </c>
      <c r="C328" t="s">
        <v>326</v>
      </c>
      <c r="D328" s="24" t="s">
        <v>43</v>
      </c>
      <c r="E328" s="25" t="s">
        <v>368</v>
      </c>
    </row>
    <row r="329" spans="1:5">
      <c r="A329" t="s">
        <v>67</v>
      </c>
      <c r="B329" t="s">
        <v>67</v>
      </c>
      <c r="C329" t="s">
        <v>326</v>
      </c>
      <c r="D329" s="24" t="s">
        <v>43</v>
      </c>
      <c r="E329" s="25" t="s">
        <v>369</v>
      </c>
    </row>
    <row r="330" spans="1:5">
      <c r="A330" t="s">
        <v>67</v>
      </c>
      <c r="B330" t="s">
        <v>67</v>
      </c>
      <c r="C330" t="s">
        <v>326</v>
      </c>
      <c r="D330" s="24" t="s">
        <v>43</v>
      </c>
      <c r="E330" s="25" t="s">
        <v>370</v>
      </c>
    </row>
    <row r="331" spans="1:5">
      <c r="A331" t="s">
        <v>67</v>
      </c>
      <c r="B331" t="s">
        <v>67</v>
      </c>
      <c r="C331" t="s">
        <v>326</v>
      </c>
      <c r="D331" s="24" t="s">
        <v>43</v>
      </c>
      <c r="E331" s="25" t="s">
        <v>371</v>
      </c>
    </row>
    <row r="332" spans="1:5">
      <c r="A332" t="s">
        <v>67</v>
      </c>
      <c r="B332" t="s">
        <v>67</v>
      </c>
      <c r="C332" t="s">
        <v>326</v>
      </c>
      <c r="D332" s="24" t="s">
        <v>43</v>
      </c>
      <c r="E332" s="25" t="s">
        <v>372</v>
      </c>
    </row>
    <row r="333" spans="1:5">
      <c r="A333" t="s">
        <v>67</v>
      </c>
      <c r="B333" t="s">
        <v>67</v>
      </c>
      <c r="C333" t="s">
        <v>326</v>
      </c>
      <c r="D333" s="24" t="s">
        <v>43</v>
      </c>
      <c r="E333" s="25" t="s">
        <v>373</v>
      </c>
    </row>
    <row r="334" spans="1:5">
      <c r="A334" t="s">
        <v>67</v>
      </c>
      <c r="B334" t="s">
        <v>67</v>
      </c>
      <c r="C334" t="s">
        <v>326</v>
      </c>
      <c r="D334" s="24" t="s">
        <v>43</v>
      </c>
      <c r="E334" s="25" t="s">
        <v>374</v>
      </c>
    </row>
    <row r="335" spans="1:5">
      <c r="A335" t="s">
        <v>67</v>
      </c>
      <c r="B335" t="s">
        <v>67</v>
      </c>
      <c r="C335" t="s">
        <v>326</v>
      </c>
      <c r="D335" s="24" t="s">
        <v>43</v>
      </c>
      <c r="E335" s="25" t="s">
        <v>375</v>
      </c>
    </row>
    <row r="336" spans="1:5">
      <c r="A336" t="s">
        <v>67</v>
      </c>
      <c r="B336" t="s">
        <v>67</v>
      </c>
      <c r="C336" t="s">
        <v>326</v>
      </c>
      <c r="D336" s="24" t="s">
        <v>43</v>
      </c>
      <c r="E336" s="25" t="s">
        <v>376</v>
      </c>
    </row>
    <row r="337" spans="1:5">
      <c r="E337" s="23" t="s">
        <v>377</v>
      </c>
    </row>
    <row r="338" spans="1:5">
      <c r="A338" t="s">
        <v>81</v>
      </c>
      <c r="B338" t="s">
        <v>81</v>
      </c>
      <c r="C338" t="s">
        <v>326</v>
      </c>
      <c r="D338" s="24" t="s">
        <v>43</v>
      </c>
      <c r="E338" s="25" t="s">
        <v>378</v>
      </c>
    </row>
    <row r="339" spans="1:5">
      <c r="A339" t="s">
        <v>81</v>
      </c>
      <c r="B339" t="s">
        <v>81</v>
      </c>
      <c r="C339" t="s">
        <v>326</v>
      </c>
      <c r="D339" s="24" t="s">
        <v>43</v>
      </c>
      <c r="E339" s="25" t="s">
        <v>379</v>
      </c>
    </row>
    <row r="340" spans="1:5">
      <c r="A340" t="s">
        <v>81</v>
      </c>
      <c r="B340" t="s">
        <v>81</v>
      </c>
      <c r="C340" t="s">
        <v>326</v>
      </c>
      <c r="D340" s="24" t="s">
        <v>43</v>
      </c>
      <c r="E340" s="25" t="s">
        <v>380</v>
      </c>
    </row>
    <row r="341" spans="1:5">
      <c r="A341" t="s">
        <v>81</v>
      </c>
      <c r="B341" t="s">
        <v>81</v>
      </c>
      <c r="C341" t="s">
        <v>326</v>
      </c>
      <c r="D341" s="24" t="s">
        <v>43</v>
      </c>
      <c r="E341" s="25" t="s">
        <v>381</v>
      </c>
    </row>
    <row r="342" spans="1:5">
      <c r="A342" t="s">
        <v>81</v>
      </c>
      <c r="B342" t="s">
        <v>81</v>
      </c>
      <c r="C342" t="s">
        <v>326</v>
      </c>
      <c r="D342" s="24" t="s">
        <v>43</v>
      </c>
      <c r="E342" s="25" t="s">
        <v>382</v>
      </c>
    </row>
    <row r="343" spans="1:5">
      <c r="A343" t="s">
        <v>81</v>
      </c>
      <c r="B343" t="s">
        <v>81</v>
      </c>
      <c r="C343" t="s">
        <v>326</v>
      </c>
      <c r="D343" s="24" t="s">
        <v>43</v>
      </c>
      <c r="E343" s="25" t="s">
        <v>383</v>
      </c>
    </row>
    <row r="344" spans="1:5">
      <c r="A344" t="s">
        <v>81</v>
      </c>
      <c r="B344" t="s">
        <v>81</v>
      </c>
      <c r="C344" t="s">
        <v>326</v>
      </c>
      <c r="D344" s="24" t="s">
        <v>43</v>
      </c>
      <c r="E344" s="25" t="s">
        <v>384</v>
      </c>
    </row>
    <row r="345" spans="1:5">
      <c r="A345" t="s">
        <v>81</v>
      </c>
      <c r="B345" t="s">
        <v>81</v>
      </c>
      <c r="C345" t="s">
        <v>326</v>
      </c>
      <c r="D345" s="24" t="s">
        <v>43</v>
      </c>
      <c r="E345" s="25" t="s">
        <v>385</v>
      </c>
    </row>
    <row r="346" spans="1:5">
      <c r="A346" t="s">
        <v>81</v>
      </c>
      <c r="B346" t="s">
        <v>81</v>
      </c>
      <c r="C346" t="s">
        <v>326</v>
      </c>
      <c r="D346" s="24" t="s">
        <v>43</v>
      </c>
      <c r="E346" s="25" t="s">
        <v>386</v>
      </c>
    </row>
    <row r="347" spans="1:5" ht="17">
      <c r="E347" s="22" t="s">
        <v>387</v>
      </c>
    </row>
    <row r="348" spans="1:5">
      <c r="A348" t="s">
        <v>91</v>
      </c>
      <c r="B348" t="s">
        <v>91</v>
      </c>
      <c r="C348" t="s">
        <v>326</v>
      </c>
      <c r="D348" s="24" t="s">
        <v>43</v>
      </c>
      <c r="E348" s="25" t="s">
        <v>388</v>
      </c>
    </row>
    <row r="349" spans="1:5">
      <c r="A349" t="s">
        <v>91</v>
      </c>
      <c r="B349" t="s">
        <v>91</v>
      </c>
      <c r="C349" t="s">
        <v>326</v>
      </c>
      <c r="D349" s="24" t="s">
        <v>43</v>
      </c>
      <c r="E349" s="25" t="s">
        <v>389</v>
      </c>
    </row>
    <row r="350" spans="1:5">
      <c r="A350" t="s">
        <v>91</v>
      </c>
      <c r="B350" t="s">
        <v>91</v>
      </c>
      <c r="C350" t="s">
        <v>326</v>
      </c>
      <c r="D350" s="24" t="s">
        <v>43</v>
      </c>
      <c r="E350" s="25" t="s">
        <v>390</v>
      </c>
    </row>
    <row r="351" spans="1:5">
      <c r="A351" t="s">
        <v>91</v>
      </c>
      <c r="B351" t="s">
        <v>91</v>
      </c>
      <c r="C351" t="s">
        <v>326</v>
      </c>
      <c r="D351" s="24" t="s">
        <v>43</v>
      </c>
      <c r="E351" s="25" t="s">
        <v>391</v>
      </c>
    </row>
    <row r="352" spans="1:5">
      <c r="E352" s="29" t="s">
        <v>392</v>
      </c>
    </row>
    <row r="353" spans="1:5">
      <c r="A353" t="s">
        <v>91</v>
      </c>
      <c r="B353" t="s">
        <v>91</v>
      </c>
      <c r="C353" t="s">
        <v>326</v>
      </c>
      <c r="D353" s="24" t="s">
        <v>43</v>
      </c>
      <c r="E353" s="25" t="s">
        <v>393</v>
      </c>
    </row>
    <row r="354" spans="1:5">
      <c r="A354" t="s">
        <v>91</v>
      </c>
      <c r="B354" t="s">
        <v>91</v>
      </c>
      <c r="C354" t="s">
        <v>326</v>
      </c>
      <c r="D354" s="24" t="s">
        <v>43</v>
      </c>
      <c r="E354" s="25" t="s">
        <v>394</v>
      </c>
    </row>
    <row r="355" spans="1:5">
      <c r="A355" t="s">
        <v>91</v>
      </c>
      <c r="B355" t="s">
        <v>91</v>
      </c>
      <c r="C355" t="s">
        <v>326</v>
      </c>
      <c r="D355" s="24" t="s">
        <v>43</v>
      </c>
      <c r="E355" s="30" t="s">
        <v>395</v>
      </c>
    </row>
    <row r="356" spans="1:5">
      <c r="A356" t="s">
        <v>91</v>
      </c>
      <c r="B356" t="s">
        <v>91</v>
      </c>
      <c r="C356" t="s">
        <v>326</v>
      </c>
      <c r="D356" s="24" t="s">
        <v>43</v>
      </c>
      <c r="E356" s="25" t="s">
        <v>396</v>
      </c>
    </row>
    <row r="357" spans="1:5">
      <c r="A357" t="s">
        <v>91</v>
      </c>
      <c r="B357" t="s">
        <v>91</v>
      </c>
      <c r="C357" t="s">
        <v>326</v>
      </c>
      <c r="D357" s="24" t="s">
        <v>43</v>
      </c>
      <c r="E357" s="30" t="s">
        <v>397</v>
      </c>
    </row>
    <row r="358" spans="1:5">
      <c r="A358" t="s">
        <v>91</v>
      </c>
      <c r="B358" t="s">
        <v>91</v>
      </c>
      <c r="C358" t="s">
        <v>326</v>
      </c>
      <c r="D358" s="24" t="s">
        <v>43</v>
      </c>
      <c r="E358" s="25" t="s">
        <v>398</v>
      </c>
    </row>
    <row r="359" spans="1:5" ht="17">
      <c r="E359" s="22" t="s">
        <v>399</v>
      </c>
    </row>
    <row r="360" spans="1:5">
      <c r="E360" s="23" t="s">
        <v>400</v>
      </c>
    </row>
    <row r="361" spans="1:5">
      <c r="A361" t="s">
        <v>96</v>
      </c>
      <c r="B361" t="s">
        <v>97</v>
      </c>
      <c r="C361" t="s">
        <v>326</v>
      </c>
      <c r="D361" s="24" t="s">
        <v>43</v>
      </c>
      <c r="E361" s="25" t="s">
        <v>401</v>
      </c>
    </row>
    <row r="362" spans="1:5">
      <c r="A362" t="s">
        <v>96</v>
      </c>
      <c r="B362" t="s">
        <v>97</v>
      </c>
      <c r="C362" t="s">
        <v>326</v>
      </c>
      <c r="D362" s="24" t="s">
        <v>43</v>
      </c>
      <c r="E362" s="25" t="s">
        <v>402</v>
      </c>
    </row>
    <row r="363" spans="1:5">
      <c r="A363" t="s">
        <v>96</v>
      </c>
      <c r="B363" t="s">
        <v>97</v>
      </c>
      <c r="C363" t="s">
        <v>326</v>
      </c>
      <c r="D363" s="24" t="s">
        <v>43</v>
      </c>
      <c r="E363" s="25" t="s">
        <v>403</v>
      </c>
    </row>
    <row r="364" spans="1:5">
      <c r="A364" t="s">
        <v>96</v>
      </c>
      <c r="B364" t="s">
        <v>97</v>
      </c>
      <c r="C364" t="s">
        <v>326</v>
      </c>
      <c r="D364" s="24" t="s">
        <v>43</v>
      </c>
      <c r="E364" s="25" t="s">
        <v>404</v>
      </c>
    </row>
    <row r="365" spans="1:5">
      <c r="A365" t="s">
        <v>96</v>
      </c>
      <c r="B365" t="s">
        <v>97</v>
      </c>
      <c r="C365" t="s">
        <v>326</v>
      </c>
      <c r="D365" s="24" t="s">
        <v>43</v>
      </c>
      <c r="E365" s="25" t="s">
        <v>405</v>
      </c>
    </row>
    <row r="366" spans="1:5">
      <c r="A366" t="s">
        <v>96</v>
      </c>
      <c r="B366" t="s">
        <v>97</v>
      </c>
      <c r="C366" t="s">
        <v>326</v>
      </c>
      <c r="D366" s="24" t="s">
        <v>43</v>
      </c>
      <c r="E366" s="25" t="s">
        <v>406</v>
      </c>
    </row>
    <row r="367" spans="1:5">
      <c r="A367" t="s">
        <v>96</v>
      </c>
      <c r="B367" t="s">
        <v>97</v>
      </c>
      <c r="C367" t="s">
        <v>326</v>
      </c>
      <c r="D367" s="24" t="s">
        <v>43</v>
      </c>
      <c r="E367" s="25" t="s">
        <v>407</v>
      </c>
    </row>
    <row r="368" spans="1:5">
      <c r="A368" t="s">
        <v>96</v>
      </c>
      <c r="B368" t="s">
        <v>97</v>
      </c>
      <c r="C368" t="s">
        <v>326</v>
      </c>
      <c r="D368" s="24" t="s">
        <v>43</v>
      </c>
      <c r="E368" s="25" t="s">
        <v>408</v>
      </c>
    </row>
    <row r="369" spans="1:5">
      <c r="A369" t="s">
        <v>96</v>
      </c>
      <c r="B369" t="s">
        <v>97</v>
      </c>
      <c r="C369" t="s">
        <v>326</v>
      </c>
      <c r="D369" s="24" t="s">
        <v>43</v>
      </c>
      <c r="E369" s="25" t="s">
        <v>409</v>
      </c>
    </row>
    <row r="370" spans="1:5">
      <c r="A370" t="s">
        <v>96</v>
      </c>
      <c r="B370" t="s">
        <v>97</v>
      </c>
      <c r="C370" t="s">
        <v>326</v>
      </c>
      <c r="D370" s="24" t="s">
        <v>43</v>
      </c>
      <c r="E370" s="25" t="s">
        <v>410</v>
      </c>
    </row>
    <row r="371" spans="1:5">
      <c r="A371" t="s">
        <v>96</v>
      </c>
      <c r="B371" t="s">
        <v>97</v>
      </c>
      <c r="C371" t="s">
        <v>326</v>
      </c>
      <c r="D371" s="24" t="s">
        <v>43</v>
      </c>
      <c r="E371" s="25" t="s">
        <v>411</v>
      </c>
    </row>
    <row r="372" spans="1:5">
      <c r="A372" t="s">
        <v>96</v>
      </c>
      <c r="B372" t="s">
        <v>97</v>
      </c>
      <c r="C372" t="s">
        <v>326</v>
      </c>
      <c r="D372" s="24" t="s">
        <v>43</v>
      </c>
      <c r="E372" s="25" t="s">
        <v>412</v>
      </c>
    </row>
    <row r="373" spans="1:5">
      <c r="E373" s="23" t="s">
        <v>413</v>
      </c>
    </row>
    <row r="374" spans="1:5">
      <c r="A374" t="s">
        <v>96</v>
      </c>
      <c r="B374" t="s">
        <v>414</v>
      </c>
      <c r="C374" t="s">
        <v>326</v>
      </c>
      <c r="D374" s="24" t="s">
        <v>43</v>
      </c>
      <c r="E374" s="25" t="s">
        <v>415</v>
      </c>
    </row>
    <row r="375" spans="1:5" ht="17">
      <c r="E375" s="22" t="s">
        <v>416</v>
      </c>
    </row>
    <row r="376" spans="1:5">
      <c r="A376" t="s">
        <v>105</v>
      </c>
      <c r="B376" t="s">
        <v>105</v>
      </c>
      <c r="C376" t="s">
        <v>326</v>
      </c>
      <c r="D376" s="24" t="s">
        <v>43</v>
      </c>
      <c r="E376" s="25" t="s">
        <v>417</v>
      </c>
    </row>
    <row r="377" spans="1:5" ht="17">
      <c r="E377" s="22" t="s">
        <v>418</v>
      </c>
    </row>
    <row r="378" spans="1:5">
      <c r="E378" s="23" t="s">
        <v>419</v>
      </c>
    </row>
    <row r="379" spans="1:5">
      <c r="A379" t="s">
        <v>109</v>
      </c>
      <c r="B379" t="s">
        <v>110</v>
      </c>
      <c r="C379" t="s">
        <v>326</v>
      </c>
      <c r="D379" s="24" t="s">
        <v>43</v>
      </c>
      <c r="E379" s="25" t="s">
        <v>420</v>
      </c>
    </row>
    <row r="380" spans="1:5">
      <c r="A380" t="s">
        <v>109</v>
      </c>
      <c r="B380" t="s">
        <v>110</v>
      </c>
      <c r="C380" t="s">
        <v>326</v>
      </c>
      <c r="D380" s="24" t="s">
        <v>43</v>
      </c>
      <c r="E380" s="25" t="s">
        <v>421</v>
      </c>
    </row>
    <row r="381" spans="1:5">
      <c r="A381" t="s">
        <v>109</v>
      </c>
      <c r="B381" t="s">
        <v>110</v>
      </c>
      <c r="C381" t="s">
        <v>326</v>
      </c>
      <c r="D381" s="24" t="s">
        <v>43</v>
      </c>
      <c r="E381" s="25" t="s">
        <v>422</v>
      </c>
    </row>
    <row r="382" spans="1:5">
      <c r="A382" t="s">
        <v>109</v>
      </c>
      <c r="B382" t="s">
        <v>110</v>
      </c>
      <c r="C382" t="s">
        <v>326</v>
      </c>
      <c r="D382" s="24" t="s">
        <v>43</v>
      </c>
      <c r="E382" s="25" t="s">
        <v>423</v>
      </c>
    </row>
    <row r="383" spans="1:5">
      <c r="A383" t="s">
        <v>109</v>
      </c>
      <c r="B383" t="s">
        <v>110</v>
      </c>
      <c r="C383" t="s">
        <v>326</v>
      </c>
      <c r="D383" s="24" t="s">
        <v>43</v>
      </c>
      <c r="E383" s="25" t="s">
        <v>424</v>
      </c>
    </row>
    <row r="384" spans="1:5">
      <c r="A384" t="s">
        <v>109</v>
      </c>
      <c r="B384" t="s">
        <v>110</v>
      </c>
      <c r="C384" t="s">
        <v>326</v>
      </c>
      <c r="D384" s="24" t="s">
        <v>43</v>
      </c>
      <c r="E384" s="25" t="s">
        <v>425</v>
      </c>
    </row>
    <row r="385" spans="1:5">
      <c r="A385" t="s">
        <v>109</v>
      </c>
      <c r="B385" t="s">
        <v>110</v>
      </c>
      <c r="C385" t="s">
        <v>326</v>
      </c>
      <c r="D385" s="24" t="s">
        <v>43</v>
      </c>
      <c r="E385" s="25" t="s">
        <v>426</v>
      </c>
    </row>
    <row r="386" spans="1:5">
      <c r="A386" t="s">
        <v>109</v>
      </c>
      <c r="B386" t="s">
        <v>110</v>
      </c>
      <c r="C386" t="s">
        <v>326</v>
      </c>
      <c r="D386" s="24" t="s">
        <v>43</v>
      </c>
      <c r="E386" s="25" t="s">
        <v>427</v>
      </c>
    </row>
    <row r="387" spans="1:5">
      <c r="E387" s="23" t="s">
        <v>428</v>
      </c>
    </row>
    <row r="388" spans="1:5">
      <c r="A388" t="s">
        <v>109</v>
      </c>
      <c r="B388" t="s">
        <v>118</v>
      </c>
      <c r="C388" t="s">
        <v>326</v>
      </c>
      <c r="D388" s="24" t="s">
        <v>43</v>
      </c>
      <c r="E388" s="25" t="s">
        <v>429</v>
      </c>
    </row>
    <row r="389" spans="1:5">
      <c r="A389" t="s">
        <v>109</v>
      </c>
      <c r="B389" t="s">
        <v>118</v>
      </c>
      <c r="C389" t="s">
        <v>326</v>
      </c>
      <c r="D389" s="24" t="s">
        <v>43</v>
      </c>
      <c r="E389" s="25" t="s">
        <v>430</v>
      </c>
    </row>
    <row r="390" spans="1:5">
      <c r="A390" t="s">
        <v>109</v>
      </c>
      <c r="B390" t="s">
        <v>118</v>
      </c>
      <c r="C390" t="s">
        <v>326</v>
      </c>
      <c r="D390" s="24" t="s">
        <v>43</v>
      </c>
      <c r="E390" s="25" t="s">
        <v>431</v>
      </c>
    </row>
    <row r="391" spans="1:5">
      <c r="E391" s="23" t="s">
        <v>432</v>
      </c>
    </row>
    <row r="392" spans="1:5">
      <c r="A392" t="s">
        <v>109</v>
      </c>
      <c r="B392" s="8" t="s">
        <v>124</v>
      </c>
      <c r="C392" t="s">
        <v>326</v>
      </c>
      <c r="D392" s="24" t="s">
        <v>43</v>
      </c>
      <c r="E392" s="25" t="s">
        <v>433</v>
      </c>
    </row>
    <row r="393" spans="1:5">
      <c r="A393" t="s">
        <v>109</v>
      </c>
      <c r="B393" s="8" t="s">
        <v>124</v>
      </c>
      <c r="C393" t="s">
        <v>326</v>
      </c>
      <c r="D393" s="24" t="s">
        <v>43</v>
      </c>
      <c r="E393" s="25" t="s">
        <v>434</v>
      </c>
    </row>
    <row r="394" spans="1:5">
      <c r="A394" t="s">
        <v>109</v>
      </c>
      <c r="B394" s="8" t="s">
        <v>124</v>
      </c>
      <c r="C394" t="s">
        <v>326</v>
      </c>
      <c r="D394" s="24" t="s">
        <v>43</v>
      </c>
      <c r="E394" s="25" t="s">
        <v>435</v>
      </c>
    </row>
    <row r="395" spans="1:5">
      <c r="A395" t="s">
        <v>109</v>
      </c>
      <c r="B395" s="8" t="s">
        <v>124</v>
      </c>
      <c r="C395" t="s">
        <v>326</v>
      </c>
      <c r="D395" s="24" t="s">
        <v>43</v>
      </c>
      <c r="E395" s="25" t="s">
        <v>436</v>
      </c>
    </row>
    <row r="396" spans="1:5" ht="17">
      <c r="E396" s="22" t="s">
        <v>437</v>
      </c>
    </row>
    <row r="397" spans="1:5">
      <c r="E397" s="23" t="s">
        <v>282</v>
      </c>
    </row>
    <row r="398" spans="1:5">
      <c r="A398" t="s">
        <v>134</v>
      </c>
      <c r="B398" t="s">
        <v>135</v>
      </c>
      <c r="C398" t="s">
        <v>326</v>
      </c>
      <c r="D398" s="24" t="s">
        <v>43</v>
      </c>
      <c r="E398" s="25" t="s">
        <v>438</v>
      </c>
    </row>
    <row r="399" spans="1:5">
      <c r="A399" t="s">
        <v>134</v>
      </c>
      <c r="B399" t="s">
        <v>135</v>
      </c>
      <c r="C399" t="s">
        <v>326</v>
      </c>
      <c r="D399" s="24" t="s">
        <v>43</v>
      </c>
      <c r="E399" s="25" t="s">
        <v>439</v>
      </c>
    </row>
    <row r="400" spans="1:5">
      <c r="A400" t="s">
        <v>134</v>
      </c>
      <c r="B400" t="s">
        <v>135</v>
      </c>
      <c r="C400" t="s">
        <v>326</v>
      </c>
      <c r="D400" s="24" t="s">
        <v>43</v>
      </c>
      <c r="E400" s="25" t="s">
        <v>440</v>
      </c>
    </row>
    <row r="401" spans="1:5">
      <c r="A401" t="s">
        <v>134</v>
      </c>
      <c r="B401" t="s">
        <v>135</v>
      </c>
      <c r="C401" t="s">
        <v>326</v>
      </c>
      <c r="D401" s="24" t="s">
        <v>43</v>
      </c>
      <c r="E401" s="25" t="s">
        <v>441</v>
      </c>
    </row>
    <row r="402" spans="1:5">
      <c r="A402" t="s">
        <v>134</v>
      </c>
      <c r="B402" t="s">
        <v>135</v>
      </c>
      <c r="C402" t="s">
        <v>326</v>
      </c>
      <c r="D402" s="24" t="s">
        <v>43</v>
      </c>
      <c r="E402" s="25" t="s">
        <v>442</v>
      </c>
    </row>
    <row r="403" spans="1:5">
      <c r="E403" s="23" t="s">
        <v>443</v>
      </c>
    </row>
    <row r="404" spans="1:5">
      <c r="A404" t="s">
        <v>134</v>
      </c>
      <c r="B404" t="s">
        <v>144</v>
      </c>
      <c r="C404" t="s">
        <v>326</v>
      </c>
      <c r="D404" s="24" t="s">
        <v>43</v>
      </c>
      <c r="E404" s="25" t="s">
        <v>444</v>
      </c>
    </row>
    <row r="405" spans="1:5">
      <c r="A405" t="s">
        <v>134</v>
      </c>
      <c r="B405" t="s">
        <v>144</v>
      </c>
      <c r="C405" t="s">
        <v>326</v>
      </c>
      <c r="D405" s="24" t="s">
        <v>43</v>
      </c>
      <c r="E405" s="25" t="s">
        <v>445</v>
      </c>
    </row>
    <row r="406" spans="1:5">
      <c r="A406" t="s">
        <v>134</v>
      </c>
      <c r="B406" t="s">
        <v>144</v>
      </c>
      <c r="C406" t="s">
        <v>326</v>
      </c>
      <c r="D406" s="24" t="s">
        <v>43</v>
      </c>
      <c r="E406" s="25" t="s">
        <v>446</v>
      </c>
    </row>
    <row r="407" spans="1:5">
      <c r="A407" t="s">
        <v>134</v>
      </c>
      <c r="B407" t="s">
        <v>144</v>
      </c>
      <c r="C407" t="s">
        <v>326</v>
      </c>
      <c r="D407" s="24" t="s">
        <v>43</v>
      </c>
      <c r="E407" s="25" t="s">
        <v>447</v>
      </c>
    </row>
    <row r="408" spans="1:5">
      <c r="A408" t="s">
        <v>134</v>
      </c>
      <c r="B408" t="s">
        <v>144</v>
      </c>
      <c r="C408" t="s">
        <v>326</v>
      </c>
      <c r="D408" s="24" t="s">
        <v>43</v>
      </c>
      <c r="E408" s="25" t="s">
        <v>448</v>
      </c>
    </row>
    <row r="409" spans="1:5" ht="17">
      <c r="E409" s="23" t="s">
        <v>449</v>
      </c>
    </row>
    <row r="410" spans="1:5">
      <c r="A410" t="s">
        <v>134</v>
      </c>
      <c r="B410" t="s">
        <v>294</v>
      </c>
      <c r="C410" t="s">
        <v>326</v>
      </c>
      <c r="D410" s="24" t="s">
        <v>43</v>
      </c>
      <c r="E410" s="25" t="s">
        <v>450</v>
      </c>
    </row>
    <row r="411" spans="1:5">
      <c r="A411" t="s">
        <v>134</v>
      </c>
      <c r="B411" t="s">
        <v>294</v>
      </c>
      <c r="C411" t="s">
        <v>326</v>
      </c>
      <c r="D411" s="24" t="s">
        <v>43</v>
      </c>
      <c r="E411" s="25" t="s">
        <v>451</v>
      </c>
    </row>
    <row r="412" spans="1:5">
      <c r="A412" t="s">
        <v>134</v>
      </c>
      <c r="B412" t="s">
        <v>294</v>
      </c>
      <c r="C412" t="s">
        <v>326</v>
      </c>
      <c r="D412" s="24" t="s">
        <v>43</v>
      </c>
      <c r="E412" s="25" t="s">
        <v>452</v>
      </c>
    </row>
    <row r="413" spans="1:5">
      <c r="A413" t="s">
        <v>134</v>
      </c>
      <c r="B413" t="s">
        <v>294</v>
      </c>
      <c r="C413" t="s">
        <v>326</v>
      </c>
      <c r="D413" s="24" t="s">
        <v>43</v>
      </c>
      <c r="E413" s="25" t="s">
        <v>453</v>
      </c>
    </row>
    <row r="414" spans="1:5">
      <c r="A414" t="s">
        <v>134</v>
      </c>
      <c r="B414" t="s">
        <v>294</v>
      </c>
      <c r="C414" t="s">
        <v>326</v>
      </c>
      <c r="D414" s="24" t="s">
        <v>43</v>
      </c>
      <c r="E414" s="25" t="s">
        <v>454</v>
      </c>
    </row>
    <row r="415" spans="1:5">
      <c r="A415" t="s">
        <v>134</v>
      </c>
      <c r="B415" t="s">
        <v>294</v>
      </c>
      <c r="C415" t="s">
        <v>326</v>
      </c>
      <c r="D415" s="24" t="s">
        <v>43</v>
      </c>
      <c r="E415" s="25" t="s">
        <v>455</v>
      </c>
    </row>
    <row r="416" spans="1:5">
      <c r="A416" t="s">
        <v>134</v>
      </c>
      <c r="B416" t="s">
        <v>294</v>
      </c>
      <c r="C416" t="s">
        <v>326</v>
      </c>
      <c r="D416" s="24" t="s">
        <v>43</v>
      </c>
      <c r="E416" s="25" t="s">
        <v>456</v>
      </c>
    </row>
    <row r="417" spans="1:5">
      <c r="A417" t="s">
        <v>134</v>
      </c>
      <c r="B417" t="s">
        <v>294</v>
      </c>
      <c r="C417" t="s">
        <v>326</v>
      </c>
      <c r="D417" s="24" t="s">
        <v>43</v>
      </c>
      <c r="E417" s="25" t="s">
        <v>457</v>
      </c>
    </row>
    <row r="418" spans="1:5" ht="17">
      <c r="E418" s="23" t="s">
        <v>458</v>
      </c>
    </row>
    <row r="419" spans="1:5">
      <c r="A419" t="s">
        <v>134</v>
      </c>
      <c r="B419" t="s">
        <v>149</v>
      </c>
      <c r="C419" t="s">
        <v>326</v>
      </c>
      <c r="D419" s="24" t="s">
        <v>43</v>
      </c>
      <c r="E419" s="25" t="s">
        <v>459</v>
      </c>
    </row>
    <row r="420" spans="1:5">
      <c r="A420" t="s">
        <v>134</v>
      </c>
      <c r="B420" t="s">
        <v>149</v>
      </c>
      <c r="C420" t="s">
        <v>326</v>
      </c>
      <c r="D420" s="24" t="s">
        <v>43</v>
      </c>
      <c r="E420" s="25" t="s">
        <v>460</v>
      </c>
    </row>
    <row r="421" spans="1:5">
      <c r="A421" t="s">
        <v>134</v>
      </c>
      <c r="B421" t="s">
        <v>149</v>
      </c>
      <c r="C421" t="s">
        <v>326</v>
      </c>
      <c r="D421" s="24" t="s">
        <v>43</v>
      </c>
      <c r="E421" s="25" t="s">
        <v>461</v>
      </c>
    </row>
    <row r="422" spans="1:5" ht="17">
      <c r="E422" s="22" t="s">
        <v>462</v>
      </c>
    </row>
    <row r="423" spans="1:5">
      <c r="A423" t="s">
        <v>152</v>
      </c>
      <c r="B423" t="s">
        <v>152</v>
      </c>
      <c r="C423" t="s">
        <v>326</v>
      </c>
      <c r="D423" s="24" t="s">
        <v>43</v>
      </c>
      <c r="E423" s="25" t="s">
        <v>463</v>
      </c>
    </row>
    <row r="424" spans="1:5">
      <c r="A424" t="s">
        <v>152</v>
      </c>
      <c r="B424" t="s">
        <v>152</v>
      </c>
      <c r="C424" t="s">
        <v>326</v>
      </c>
      <c r="D424" s="24" t="s">
        <v>43</v>
      </c>
      <c r="E424" s="25" t="s">
        <v>464</v>
      </c>
    </row>
    <row r="425" spans="1:5">
      <c r="A425" t="s">
        <v>152</v>
      </c>
      <c r="B425" t="s">
        <v>152</v>
      </c>
      <c r="C425" t="s">
        <v>326</v>
      </c>
      <c r="D425" s="24" t="s">
        <v>43</v>
      </c>
      <c r="E425" s="25" t="s">
        <v>465</v>
      </c>
    </row>
    <row r="426" spans="1:5">
      <c r="A426" t="s">
        <v>152</v>
      </c>
      <c r="B426" t="s">
        <v>152</v>
      </c>
      <c r="C426" t="s">
        <v>326</v>
      </c>
      <c r="D426" s="24" t="s">
        <v>43</v>
      </c>
      <c r="E426" s="25" t="s">
        <v>466</v>
      </c>
    </row>
    <row r="427" spans="1:5" ht="17">
      <c r="E427" s="22" t="s">
        <v>467</v>
      </c>
    </row>
    <row r="428" spans="1:5">
      <c r="E428" s="23" t="s">
        <v>468</v>
      </c>
    </row>
    <row r="429" spans="1:5">
      <c r="A429" t="s">
        <v>160</v>
      </c>
      <c r="B429" t="s">
        <v>161</v>
      </c>
      <c r="C429" t="s">
        <v>326</v>
      </c>
      <c r="D429" s="24" t="s">
        <v>43</v>
      </c>
      <c r="E429" s="25" t="s">
        <v>469</v>
      </c>
    </row>
    <row r="430" spans="1:5">
      <c r="A430" t="s">
        <v>160</v>
      </c>
      <c r="B430" t="s">
        <v>161</v>
      </c>
      <c r="C430" t="s">
        <v>326</v>
      </c>
      <c r="D430" s="24" t="s">
        <v>43</v>
      </c>
      <c r="E430" s="25" t="s">
        <v>470</v>
      </c>
    </row>
    <row r="431" spans="1:5">
      <c r="A431" t="s">
        <v>160</v>
      </c>
      <c r="B431" t="s">
        <v>161</v>
      </c>
      <c r="C431" t="s">
        <v>326</v>
      </c>
      <c r="D431" s="24" t="s">
        <v>43</v>
      </c>
      <c r="E431" s="25" t="s">
        <v>471</v>
      </c>
    </row>
    <row r="432" spans="1:5">
      <c r="A432" t="s">
        <v>160</v>
      </c>
      <c r="B432" t="s">
        <v>161</v>
      </c>
      <c r="C432" t="s">
        <v>326</v>
      </c>
      <c r="D432" s="24" t="s">
        <v>43</v>
      </c>
      <c r="E432" s="25" t="s">
        <v>472</v>
      </c>
    </row>
    <row r="433" spans="1:5">
      <c r="A433" t="s">
        <v>160</v>
      </c>
      <c r="B433" t="s">
        <v>161</v>
      </c>
      <c r="C433" t="s">
        <v>326</v>
      </c>
      <c r="D433" s="24" t="s">
        <v>43</v>
      </c>
      <c r="E433" s="25" t="s">
        <v>473</v>
      </c>
    </row>
    <row r="434" spans="1:5">
      <c r="A434" t="s">
        <v>160</v>
      </c>
      <c r="B434" t="s">
        <v>161</v>
      </c>
      <c r="C434" t="s">
        <v>326</v>
      </c>
      <c r="D434" s="24" t="s">
        <v>43</v>
      </c>
      <c r="E434" s="25" t="s">
        <v>474</v>
      </c>
    </row>
    <row r="435" spans="1:5">
      <c r="A435" t="s">
        <v>160</v>
      </c>
      <c r="B435" t="s">
        <v>161</v>
      </c>
      <c r="C435" t="s">
        <v>326</v>
      </c>
      <c r="D435" s="24" t="s">
        <v>43</v>
      </c>
      <c r="E435" s="25" t="s">
        <v>475</v>
      </c>
    </row>
    <row r="436" spans="1:5">
      <c r="A436" t="s">
        <v>160</v>
      </c>
      <c r="B436" t="s">
        <v>161</v>
      </c>
      <c r="C436" t="s">
        <v>326</v>
      </c>
      <c r="D436" s="24" t="s">
        <v>43</v>
      </c>
      <c r="E436" s="25" t="s">
        <v>476</v>
      </c>
    </row>
    <row r="437" spans="1:5">
      <c r="A437" t="s">
        <v>160</v>
      </c>
      <c r="B437" t="s">
        <v>161</v>
      </c>
      <c r="C437" t="s">
        <v>326</v>
      </c>
      <c r="D437" s="24" t="s">
        <v>43</v>
      </c>
      <c r="E437" s="25" t="s">
        <v>477</v>
      </c>
    </row>
    <row r="438" spans="1:5">
      <c r="E438" s="23" t="s">
        <v>478</v>
      </c>
    </row>
    <row r="439" spans="1:5">
      <c r="A439" t="s">
        <v>160</v>
      </c>
      <c r="B439" t="s">
        <v>165</v>
      </c>
      <c r="C439" t="s">
        <v>326</v>
      </c>
      <c r="D439" s="24" t="s">
        <v>43</v>
      </c>
      <c r="E439" s="25" t="s">
        <v>479</v>
      </c>
    </row>
    <row r="440" spans="1:5">
      <c r="A440" t="s">
        <v>160</v>
      </c>
      <c r="B440" t="s">
        <v>165</v>
      </c>
      <c r="C440" t="s">
        <v>326</v>
      </c>
      <c r="D440" s="24" t="s">
        <v>43</v>
      </c>
      <c r="E440" s="25" t="s">
        <v>480</v>
      </c>
    </row>
    <row r="441" spans="1:5">
      <c r="A441" t="s">
        <v>160</v>
      </c>
      <c r="B441" t="s">
        <v>165</v>
      </c>
      <c r="C441" t="s">
        <v>326</v>
      </c>
      <c r="D441" s="24" t="s">
        <v>43</v>
      </c>
      <c r="E441" s="25" t="s">
        <v>481</v>
      </c>
    </row>
    <row r="442" spans="1:5">
      <c r="A442" t="s">
        <v>160</v>
      </c>
      <c r="B442" t="s">
        <v>165</v>
      </c>
      <c r="C442" t="s">
        <v>326</v>
      </c>
      <c r="D442" s="24" t="s">
        <v>43</v>
      </c>
      <c r="E442" s="25" t="s">
        <v>482</v>
      </c>
    </row>
    <row r="443" spans="1:5">
      <c r="A443" t="s">
        <v>160</v>
      </c>
      <c r="B443" t="s">
        <v>165</v>
      </c>
      <c r="C443" t="s">
        <v>326</v>
      </c>
      <c r="D443" s="24" t="s">
        <v>43</v>
      </c>
      <c r="E443" s="25" t="s">
        <v>483</v>
      </c>
    </row>
    <row r="444" spans="1:5">
      <c r="A444" t="s">
        <v>160</v>
      </c>
      <c r="B444" t="s">
        <v>165</v>
      </c>
      <c r="C444" t="s">
        <v>326</v>
      </c>
      <c r="D444" s="24" t="s">
        <v>43</v>
      </c>
      <c r="E444" s="25" t="s">
        <v>484</v>
      </c>
    </row>
    <row r="445" spans="1:5" ht="19.5">
      <c r="E445" s="21" t="s">
        <v>485</v>
      </c>
    </row>
    <row r="446" spans="1:5" ht="17">
      <c r="E446" s="22" t="s">
        <v>324</v>
      </c>
    </row>
    <row r="447" spans="1:5">
      <c r="E447" s="23" t="s">
        <v>486</v>
      </c>
    </row>
    <row r="448" spans="1:5">
      <c r="A448" t="s">
        <v>23</v>
      </c>
      <c r="B448" t="s">
        <v>23</v>
      </c>
      <c r="C448" t="s">
        <v>487</v>
      </c>
      <c r="D448" s="24" t="s">
        <v>43</v>
      </c>
      <c r="E448" s="25" t="s">
        <v>488</v>
      </c>
    </row>
    <row r="449" spans="1:5">
      <c r="A449" t="s">
        <v>23</v>
      </c>
      <c r="B449" t="s">
        <v>23</v>
      </c>
      <c r="C449" t="s">
        <v>487</v>
      </c>
      <c r="D449" s="24" t="s">
        <v>43</v>
      </c>
      <c r="E449" s="25" t="s">
        <v>489</v>
      </c>
    </row>
    <row r="450" spans="1:5">
      <c r="A450" t="s">
        <v>23</v>
      </c>
      <c r="B450" t="s">
        <v>23</v>
      </c>
      <c r="C450" t="s">
        <v>487</v>
      </c>
      <c r="D450" s="24" t="s">
        <v>43</v>
      </c>
      <c r="E450" s="25" t="s">
        <v>490</v>
      </c>
    </row>
    <row r="451" spans="1:5">
      <c r="A451" t="s">
        <v>23</v>
      </c>
      <c r="B451" t="s">
        <v>23</v>
      </c>
      <c r="C451" t="s">
        <v>487</v>
      </c>
      <c r="D451" s="24" t="s">
        <v>43</v>
      </c>
      <c r="E451" s="25" t="s">
        <v>491</v>
      </c>
    </row>
    <row r="452" spans="1:5">
      <c r="A452" t="s">
        <v>23</v>
      </c>
      <c r="B452" t="s">
        <v>23</v>
      </c>
      <c r="C452" t="s">
        <v>487</v>
      </c>
      <c r="D452" s="24" t="s">
        <v>43</v>
      </c>
      <c r="E452" s="25" t="s">
        <v>492</v>
      </c>
    </row>
    <row r="453" spans="1:5">
      <c r="A453" t="s">
        <v>23</v>
      </c>
      <c r="B453" t="s">
        <v>23</v>
      </c>
      <c r="C453" t="s">
        <v>487</v>
      </c>
      <c r="D453" s="24" t="s">
        <v>43</v>
      </c>
      <c r="E453" s="25" t="s">
        <v>493</v>
      </c>
    </row>
    <row r="454" spans="1:5">
      <c r="E454" s="23" t="s">
        <v>494</v>
      </c>
    </row>
    <row r="455" spans="1:5">
      <c r="A455" t="s">
        <v>42</v>
      </c>
      <c r="B455" t="s">
        <v>42</v>
      </c>
      <c r="C455" t="s">
        <v>487</v>
      </c>
      <c r="D455" s="24" t="s">
        <v>43</v>
      </c>
      <c r="E455" s="25" t="s">
        <v>495</v>
      </c>
    </row>
    <row r="456" spans="1:5">
      <c r="A456" t="s">
        <v>42</v>
      </c>
      <c r="B456" t="s">
        <v>42</v>
      </c>
      <c r="C456" t="s">
        <v>487</v>
      </c>
      <c r="D456" s="24" t="s">
        <v>43</v>
      </c>
      <c r="E456" s="25" t="s">
        <v>496</v>
      </c>
    </row>
    <row r="457" spans="1:5">
      <c r="A457" t="s">
        <v>42</v>
      </c>
      <c r="B457" t="s">
        <v>42</v>
      </c>
      <c r="C457" t="s">
        <v>487</v>
      </c>
      <c r="D457" s="24" t="s">
        <v>43</v>
      </c>
      <c r="E457" s="25" t="s">
        <v>497</v>
      </c>
    </row>
    <row r="458" spans="1:5">
      <c r="A458" t="s">
        <v>42</v>
      </c>
      <c r="B458" t="s">
        <v>42</v>
      </c>
      <c r="C458" t="s">
        <v>487</v>
      </c>
      <c r="D458" s="24" t="s">
        <v>43</v>
      </c>
      <c r="E458" s="25" t="s">
        <v>498</v>
      </c>
    </row>
    <row r="459" spans="1:5">
      <c r="A459" t="s">
        <v>42</v>
      </c>
      <c r="B459" t="s">
        <v>42</v>
      </c>
      <c r="C459" t="s">
        <v>487</v>
      </c>
      <c r="D459" s="24" t="s">
        <v>43</v>
      </c>
      <c r="E459" s="25" t="s">
        <v>499</v>
      </c>
    </row>
    <row r="460" spans="1:5">
      <c r="E460" s="23" t="s">
        <v>500</v>
      </c>
    </row>
    <row r="461" spans="1:5">
      <c r="A461" t="s">
        <v>55</v>
      </c>
      <c r="B461" t="s">
        <v>55</v>
      </c>
      <c r="C461" t="s">
        <v>487</v>
      </c>
      <c r="D461" s="24" t="s">
        <v>43</v>
      </c>
      <c r="E461" s="25" t="s">
        <v>501</v>
      </c>
    </row>
    <row r="462" spans="1:5">
      <c r="A462" t="s">
        <v>55</v>
      </c>
      <c r="B462" t="s">
        <v>55</v>
      </c>
      <c r="C462" t="s">
        <v>487</v>
      </c>
      <c r="D462" s="24" t="s">
        <v>43</v>
      </c>
      <c r="E462" s="25" t="s">
        <v>502</v>
      </c>
    </row>
    <row r="463" spans="1:5">
      <c r="A463" t="s">
        <v>55</v>
      </c>
      <c r="B463" t="s">
        <v>55</v>
      </c>
      <c r="C463" t="s">
        <v>487</v>
      </c>
      <c r="D463" s="24" t="s">
        <v>43</v>
      </c>
      <c r="E463" s="25" t="s">
        <v>503</v>
      </c>
    </row>
    <row r="464" spans="1:5">
      <c r="A464" t="s">
        <v>55</v>
      </c>
      <c r="B464" t="s">
        <v>55</v>
      </c>
      <c r="C464" t="s">
        <v>487</v>
      </c>
      <c r="D464" s="24" t="s">
        <v>43</v>
      </c>
      <c r="E464" s="25" t="s">
        <v>504</v>
      </c>
    </row>
    <row r="465" spans="1:5" ht="17">
      <c r="E465" s="22" t="s">
        <v>200</v>
      </c>
    </row>
    <row r="466" spans="1:5">
      <c r="E466" s="23" t="s">
        <v>505</v>
      </c>
    </row>
    <row r="467" spans="1:5">
      <c r="A467" t="s">
        <v>67</v>
      </c>
      <c r="B467" t="s">
        <v>67</v>
      </c>
      <c r="C467" t="s">
        <v>487</v>
      </c>
      <c r="D467" s="24" t="s">
        <v>43</v>
      </c>
      <c r="E467" s="25" t="s">
        <v>506</v>
      </c>
    </row>
    <row r="468" spans="1:5">
      <c r="A468" t="s">
        <v>67</v>
      </c>
      <c r="B468" t="s">
        <v>67</v>
      </c>
      <c r="C468" t="s">
        <v>487</v>
      </c>
      <c r="D468" s="24" t="s">
        <v>43</v>
      </c>
      <c r="E468" s="25" t="s">
        <v>507</v>
      </c>
    </row>
    <row r="469" spans="1:5">
      <c r="A469" t="s">
        <v>67</v>
      </c>
      <c r="B469" t="s">
        <v>67</v>
      </c>
      <c r="C469" t="s">
        <v>487</v>
      </c>
      <c r="D469" s="24" t="s">
        <v>43</v>
      </c>
      <c r="E469" s="25" t="s">
        <v>508</v>
      </c>
    </row>
    <row r="470" spans="1:5">
      <c r="A470" t="s">
        <v>67</v>
      </c>
      <c r="B470" t="s">
        <v>67</v>
      </c>
      <c r="C470" t="s">
        <v>487</v>
      </c>
      <c r="D470" s="24" t="s">
        <v>43</v>
      </c>
      <c r="E470" s="25" t="s">
        <v>509</v>
      </c>
    </row>
    <row r="471" spans="1:5">
      <c r="A471" t="s">
        <v>67</v>
      </c>
      <c r="B471" t="s">
        <v>67</v>
      </c>
      <c r="C471" t="s">
        <v>487</v>
      </c>
      <c r="D471" s="24" t="s">
        <v>43</v>
      </c>
      <c r="E471" s="25" t="s">
        <v>510</v>
      </c>
    </row>
    <row r="472" spans="1:5">
      <c r="A472" t="s">
        <v>67</v>
      </c>
      <c r="B472" t="s">
        <v>67</v>
      </c>
      <c r="C472" t="s">
        <v>487</v>
      </c>
      <c r="D472" s="24" t="s">
        <v>43</v>
      </c>
      <c r="E472" s="25" t="s">
        <v>511</v>
      </c>
    </row>
    <row r="473" spans="1:5">
      <c r="A473" t="s">
        <v>67</v>
      </c>
      <c r="B473" t="s">
        <v>67</v>
      </c>
      <c r="C473" t="s">
        <v>487</v>
      </c>
      <c r="D473" s="24" t="s">
        <v>43</v>
      </c>
      <c r="E473" s="25" t="s">
        <v>512</v>
      </c>
    </row>
    <row r="474" spans="1:5">
      <c r="A474" t="s">
        <v>67</v>
      </c>
      <c r="B474" t="s">
        <v>67</v>
      </c>
      <c r="C474" t="s">
        <v>487</v>
      </c>
      <c r="D474" s="24" t="s">
        <v>43</v>
      </c>
      <c r="E474" s="25" t="s">
        <v>513</v>
      </c>
    </row>
    <row r="475" spans="1:5">
      <c r="A475" t="s">
        <v>67</v>
      </c>
      <c r="B475" t="s">
        <v>67</v>
      </c>
      <c r="C475" t="s">
        <v>487</v>
      </c>
      <c r="D475" s="24" t="s">
        <v>43</v>
      </c>
      <c r="E475" s="25" t="s">
        <v>514</v>
      </c>
    </row>
    <row r="476" spans="1:5">
      <c r="A476" t="s">
        <v>67</v>
      </c>
      <c r="B476" t="s">
        <v>67</v>
      </c>
      <c r="C476" t="s">
        <v>487</v>
      </c>
      <c r="D476" s="24" t="s">
        <v>43</v>
      </c>
      <c r="E476" s="25" t="s">
        <v>515</v>
      </c>
    </row>
    <row r="477" spans="1:5">
      <c r="A477" t="s">
        <v>67</v>
      </c>
      <c r="B477" t="s">
        <v>67</v>
      </c>
      <c r="C477" t="s">
        <v>487</v>
      </c>
      <c r="D477" s="24" t="s">
        <v>43</v>
      </c>
      <c r="E477" s="25" t="s">
        <v>516</v>
      </c>
    </row>
    <row r="478" spans="1:5">
      <c r="A478" t="s">
        <v>67</v>
      </c>
      <c r="B478" t="s">
        <v>67</v>
      </c>
      <c r="C478" t="s">
        <v>487</v>
      </c>
      <c r="D478" s="24" t="s">
        <v>43</v>
      </c>
      <c r="E478" s="25" t="s">
        <v>517</v>
      </c>
    </row>
    <row r="479" spans="1:5">
      <c r="E479" s="23" t="s">
        <v>518</v>
      </c>
    </row>
    <row r="480" spans="1:5">
      <c r="A480" t="s">
        <v>81</v>
      </c>
      <c r="B480" t="s">
        <v>81</v>
      </c>
      <c r="C480" t="s">
        <v>487</v>
      </c>
      <c r="D480" s="24" t="s">
        <v>43</v>
      </c>
      <c r="E480" s="25" t="s">
        <v>519</v>
      </c>
    </row>
    <row r="481" spans="1:5">
      <c r="A481" t="s">
        <v>81</v>
      </c>
      <c r="B481" t="s">
        <v>81</v>
      </c>
      <c r="C481" t="s">
        <v>487</v>
      </c>
      <c r="D481" s="24" t="s">
        <v>43</v>
      </c>
      <c r="E481" s="25" t="s">
        <v>520</v>
      </c>
    </row>
    <row r="482" spans="1:5">
      <c r="A482" t="s">
        <v>81</v>
      </c>
      <c r="B482" t="s">
        <v>81</v>
      </c>
      <c r="C482" t="s">
        <v>487</v>
      </c>
      <c r="D482" s="24" t="s">
        <v>43</v>
      </c>
      <c r="E482" s="25" t="s">
        <v>521</v>
      </c>
    </row>
    <row r="483" spans="1:5">
      <c r="A483" t="s">
        <v>81</v>
      </c>
      <c r="B483" t="s">
        <v>81</v>
      </c>
      <c r="C483" t="s">
        <v>487</v>
      </c>
      <c r="D483" s="24" t="s">
        <v>43</v>
      </c>
      <c r="E483" s="25" t="s">
        <v>522</v>
      </c>
    </row>
    <row r="484" spans="1:5">
      <c r="A484" t="s">
        <v>81</v>
      </c>
      <c r="B484" t="s">
        <v>81</v>
      </c>
      <c r="C484" t="s">
        <v>487</v>
      </c>
      <c r="D484" s="24" t="s">
        <v>43</v>
      </c>
      <c r="E484" s="25" t="s">
        <v>523</v>
      </c>
    </row>
    <row r="485" spans="1:5">
      <c r="A485" t="s">
        <v>81</v>
      </c>
      <c r="B485" t="s">
        <v>81</v>
      </c>
      <c r="C485" t="s">
        <v>487</v>
      </c>
      <c r="D485" s="24" t="s">
        <v>43</v>
      </c>
      <c r="E485" s="25" t="s">
        <v>524</v>
      </c>
    </row>
    <row r="486" spans="1:5">
      <c r="A486" t="s">
        <v>81</v>
      </c>
      <c r="B486" t="s">
        <v>81</v>
      </c>
      <c r="C486" t="s">
        <v>487</v>
      </c>
      <c r="D486" s="24" t="s">
        <v>43</v>
      </c>
      <c r="E486" s="25" t="s">
        <v>525</v>
      </c>
    </row>
    <row r="487" spans="1:5">
      <c r="A487" t="s">
        <v>81</v>
      </c>
      <c r="B487" t="s">
        <v>81</v>
      </c>
      <c r="C487" t="s">
        <v>487</v>
      </c>
      <c r="D487" s="24" t="s">
        <v>43</v>
      </c>
      <c r="E487" s="25" t="s">
        <v>526</v>
      </c>
    </row>
    <row r="488" spans="1:5" ht="17">
      <c r="E488" s="22" t="s">
        <v>387</v>
      </c>
    </row>
    <row r="489" spans="1:5">
      <c r="A489" t="s">
        <v>91</v>
      </c>
      <c r="B489" t="s">
        <v>91</v>
      </c>
      <c r="C489" t="s">
        <v>487</v>
      </c>
      <c r="D489" s="24" t="s">
        <v>43</v>
      </c>
      <c r="E489" s="25" t="s">
        <v>527</v>
      </c>
    </row>
    <row r="490" spans="1:5">
      <c r="A490" t="s">
        <v>91</v>
      </c>
      <c r="B490" t="s">
        <v>91</v>
      </c>
      <c r="C490" t="s">
        <v>487</v>
      </c>
      <c r="D490" s="24" t="s">
        <v>43</v>
      </c>
      <c r="E490" s="30" t="s">
        <v>528</v>
      </c>
    </row>
    <row r="491" spans="1:5">
      <c r="A491" t="s">
        <v>91</v>
      </c>
      <c r="B491" t="s">
        <v>91</v>
      </c>
      <c r="C491" t="s">
        <v>487</v>
      </c>
      <c r="D491" s="24" t="s">
        <v>43</v>
      </c>
      <c r="E491" s="30" t="s">
        <v>529</v>
      </c>
    </row>
    <row r="492" spans="1:5">
      <c r="A492" t="s">
        <v>91</v>
      </c>
      <c r="B492" t="s">
        <v>91</v>
      </c>
      <c r="C492" t="s">
        <v>487</v>
      </c>
      <c r="D492" s="24" t="s">
        <v>43</v>
      </c>
      <c r="E492" s="30" t="s">
        <v>530</v>
      </c>
    </row>
    <row r="493" spans="1:5">
      <c r="A493" t="s">
        <v>91</v>
      </c>
      <c r="B493" t="s">
        <v>91</v>
      </c>
      <c r="C493" t="s">
        <v>487</v>
      </c>
      <c r="D493" s="24" t="s">
        <v>43</v>
      </c>
      <c r="E493" s="25" t="s">
        <v>531</v>
      </c>
    </row>
    <row r="494" spans="1:5">
      <c r="A494" t="s">
        <v>91</v>
      </c>
      <c r="B494" t="s">
        <v>91</v>
      </c>
      <c r="C494" t="s">
        <v>487</v>
      </c>
      <c r="D494" s="24" t="s">
        <v>43</v>
      </c>
      <c r="E494" s="25" t="s">
        <v>532</v>
      </c>
    </row>
    <row r="495" spans="1:5">
      <c r="A495" t="s">
        <v>91</v>
      </c>
      <c r="B495" t="s">
        <v>91</v>
      </c>
      <c r="C495" t="s">
        <v>487</v>
      </c>
      <c r="D495" s="24" t="s">
        <v>43</v>
      </c>
      <c r="E495" s="25" t="s">
        <v>533</v>
      </c>
    </row>
    <row r="496" spans="1:5">
      <c r="A496" t="s">
        <v>91</v>
      </c>
      <c r="B496" t="s">
        <v>91</v>
      </c>
      <c r="C496" t="s">
        <v>487</v>
      </c>
      <c r="D496" s="24" t="s">
        <v>43</v>
      </c>
      <c r="E496" s="25" t="s">
        <v>534</v>
      </c>
    </row>
    <row r="497" spans="1:5">
      <c r="A497" t="s">
        <v>91</v>
      </c>
      <c r="B497" t="s">
        <v>91</v>
      </c>
      <c r="C497" t="s">
        <v>487</v>
      </c>
      <c r="D497" s="24" t="s">
        <v>43</v>
      </c>
      <c r="E497" s="25" t="s">
        <v>535</v>
      </c>
    </row>
    <row r="498" spans="1:5">
      <c r="A498" t="s">
        <v>91</v>
      </c>
      <c r="B498" t="s">
        <v>91</v>
      </c>
      <c r="C498" t="s">
        <v>487</v>
      </c>
      <c r="D498" s="24" t="s">
        <v>43</v>
      </c>
      <c r="E498" s="25" t="s">
        <v>536</v>
      </c>
    </row>
    <row r="499" spans="1:5" ht="17">
      <c r="E499" s="22" t="s">
        <v>229</v>
      </c>
    </row>
    <row r="500" spans="1:5">
      <c r="E500" s="23" t="s">
        <v>537</v>
      </c>
    </row>
    <row r="501" spans="1:5">
      <c r="A501" t="s">
        <v>96</v>
      </c>
      <c r="B501" t="s">
        <v>97</v>
      </c>
      <c r="C501" t="s">
        <v>487</v>
      </c>
      <c r="D501" s="24" t="s">
        <v>43</v>
      </c>
      <c r="E501" s="25" t="s">
        <v>538</v>
      </c>
    </row>
    <row r="502" spans="1:5">
      <c r="A502" t="s">
        <v>96</v>
      </c>
      <c r="B502" t="s">
        <v>97</v>
      </c>
      <c r="C502" t="s">
        <v>487</v>
      </c>
      <c r="D502" s="24" t="s">
        <v>43</v>
      </c>
      <c r="E502" s="25" t="s">
        <v>539</v>
      </c>
    </row>
    <row r="503" spans="1:5">
      <c r="A503" t="s">
        <v>96</v>
      </c>
      <c r="B503" t="s">
        <v>97</v>
      </c>
      <c r="C503" t="s">
        <v>487</v>
      </c>
      <c r="D503" s="24" t="s">
        <v>43</v>
      </c>
      <c r="E503" s="25" t="s">
        <v>540</v>
      </c>
    </row>
    <row r="504" spans="1:5">
      <c r="A504" t="s">
        <v>96</v>
      </c>
      <c r="B504" t="s">
        <v>97</v>
      </c>
      <c r="C504" t="s">
        <v>487</v>
      </c>
      <c r="D504" s="24" t="s">
        <v>43</v>
      </c>
      <c r="E504" s="25" t="s">
        <v>541</v>
      </c>
    </row>
    <row r="505" spans="1:5">
      <c r="A505" t="s">
        <v>96</v>
      </c>
      <c r="B505" t="s">
        <v>97</v>
      </c>
      <c r="C505" t="s">
        <v>487</v>
      </c>
      <c r="D505" s="24" t="s">
        <v>43</v>
      </c>
      <c r="E505" s="25" t="s">
        <v>542</v>
      </c>
    </row>
    <row r="506" spans="1:5">
      <c r="E506" s="23" t="s">
        <v>543</v>
      </c>
    </row>
    <row r="507" spans="1:5">
      <c r="A507" t="s">
        <v>96</v>
      </c>
      <c r="B507" t="s">
        <v>414</v>
      </c>
      <c r="C507" t="s">
        <v>487</v>
      </c>
      <c r="D507" s="24" t="s">
        <v>43</v>
      </c>
      <c r="E507" s="25" t="s">
        <v>544</v>
      </c>
    </row>
    <row r="508" spans="1:5">
      <c r="A508" t="s">
        <v>96</v>
      </c>
      <c r="B508" t="s">
        <v>414</v>
      </c>
      <c r="C508" t="s">
        <v>487</v>
      </c>
      <c r="D508" s="24" t="s">
        <v>43</v>
      </c>
      <c r="E508" s="25" t="s">
        <v>545</v>
      </c>
    </row>
    <row r="509" spans="1:5" ht="17">
      <c r="E509" s="22" t="s">
        <v>546</v>
      </c>
    </row>
    <row r="510" spans="1:5">
      <c r="A510" t="s">
        <v>105</v>
      </c>
      <c r="B510" t="s">
        <v>105</v>
      </c>
      <c r="C510" t="s">
        <v>487</v>
      </c>
      <c r="D510" s="24" t="s">
        <v>43</v>
      </c>
      <c r="E510" s="25" t="s">
        <v>547</v>
      </c>
    </row>
    <row r="511" spans="1:5">
      <c r="A511" t="s">
        <v>105</v>
      </c>
      <c r="B511" t="s">
        <v>105</v>
      </c>
      <c r="C511" t="s">
        <v>487</v>
      </c>
      <c r="D511" s="24" t="s">
        <v>43</v>
      </c>
      <c r="E511" s="25" t="s">
        <v>548</v>
      </c>
    </row>
    <row r="512" spans="1:5">
      <c r="A512" t="s">
        <v>105</v>
      </c>
      <c r="B512" t="s">
        <v>105</v>
      </c>
      <c r="C512" t="s">
        <v>487</v>
      </c>
      <c r="D512" s="24" t="s">
        <v>43</v>
      </c>
      <c r="E512" s="25" t="s">
        <v>549</v>
      </c>
    </row>
    <row r="513" spans="1:5">
      <c r="A513" t="s">
        <v>105</v>
      </c>
      <c r="B513" t="s">
        <v>105</v>
      </c>
      <c r="C513" t="s">
        <v>487</v>
      </c>
      <c r="D513" s="24" t="s">
        <v>43</v>
      </c>
      <c r="E513" s="25" t="s">
        <v>550</v>
      </c>
    </row>
    <row r="514" spans="1:5">
      <c r="A514" t="s">
        <v>105</v>
      </c>
      <c r="B514" t="s">
        <v>105</v>
      </c>
      <c r="C514" t="s">
        <v>487</v>
      </c>
      <c r="D514" s="24" t="s">
        <v>43</v>
      </c>
      <c r="E514" s="25" t="s">
        <v>551</v>
      </c>
    </row>
    <row r="515" spans="1:5">
      <c r="A515" t="s">
        <v>105</v>
      </c>
      <c r="B515" t="s">
        <v>105</v>
      </c>
      <c r="C515" t="s">
        <v>487</v>
      </c>
      <c r="D515" s="24" t="s">
        <v>43</v>
      </c>
      <c r="E515" s="25" t="s">
        <v>552</v>
      </c>
    </row>
    <row r="516" spans="1:5" ht="17">
      <c r="E516" s="22" t="s">
        <v>553</v>
      </c>
    </row>
    <row r="517" spans="1:5">
      <c r="E517" s="23" t="s">
        <v>554</v>
      </c>
    </row>
    <row r="518" spans="1:5">
      <c r="A518" t="s">
        <v>109</v>
      </c>
      <c r="B518" t="s">
        <v>110</v>
      </c>
      <c r="C518" t="s">
        <v>487</v>
      </c>
      <c r="D518" s="24" t="s">
        <v>43</v>
      </c>
      <c r="E518" s="25" t="s">
        <v>555</v>
      </c>
    </row>
    <row r="519" spans="1:5">
      <c r="A519" t="s">
        <v>109</v>
      </c>
      <c r="B519" t="s">
        <v>110</v>
      </c>
      <c r="C519" t="s">
        <v>487</v>
      </c>
      <c r="D519" s="24" t="s">
        <v>43</v>
      </c>
      <c r="E519" s="25" t="s">
        <v>556</v>
      </c>
    </row>
    <row r="520" spans="1:5">
      <c r="A520" t="s">
        <v>109</v>
      </c>
      <c r="B520" t="s">
        <v>110</v>
      </c>
      <c r="C520" t="s">
        <v>487</v>
      </c>
      <c r="D520" s="24" t="s">
        <v>43</v>
      </c>
      <c r="E520" s="25" t="s">
        <v>557</v>
      </c>
    </row>
    <row r="521" spans="1:5">
      <c r="A521" t="s">
        <v>109</v>
      </c>
      <c r="B521" t="s">
        <v>110</v>
      </c>
      <c r="C521" t="s">
        <v>487</v>
      </c>
      <c r="D521" s="24" t="s">
        <v>43</v>
      </c>
      <c r="E521" s="25" t="s">
        <v>558</v>
      </c>
    </row>
    <row r="522" spans="1:5">
      <c r="A522" t="s">
        <v>109</v>
      </c>
      <c r="B522" t="s">
        <v>110</v>
      </c>
      <c r="C522" t="s">
        <v>487</v>
      </c>
      <c r="D522" s="24" t="s">
        <v>43</v>
      </c>
      <c r="E522" s="25" t="s">
        <v>559</v>
      </c>
    </row>
    <row r="523" spans="1:5">
      <c r="A523" t="s">
        <v>109</v>
      </c>
      <c r="B523" t="s">
        <v>110</v>
      </c>
      <c r="C523" t="s">
        <v>487</v>
      </c>
      <c r="D523" s="24" t="s">
        <v>43</v>
      </c>
      <c r="E523" s="25" t="s">
        <v>560</v>
      </c>
    </row>
    <row r="524" spans="1:5">
      <c r="A524" t="s">
        <v>109</v>
      </c>
      <c r="B524" t="s">
        <v>110</v>
      </c>
      <c r="C524" t="s">
        <v>487</v>
      </c>
      <c r="D524" s="24" t="s">
        <v>43</v>
      </c>
      <c r="E524" s="25" t="s">
        <v>561</v>
      </c>
    </row>
    <row r="525" spans="1:5">
      <c r="A525" t="s">
        <v>109</v>
      </c>
      <c r="B525" t="s">
        <v>110</v>
      </c>
      <c r="C525" t="s">
        <v>487</v>
      </c>
      <c r="D525" s="24" t="s">
        <v>43</v>
      </c>
      <c r="E525" s="25" t="s">
        <v>562</v>
      </c>
    </row>
    <row r="526" spans="1:5">
      <c r="A526" t="s">
        <v>109</v>
      </c>
      <c r="B526" t="s">
        <v>110</v>
      </c>
      <c r="C526" t="s">
        <v>487</v>
      </c>
      <c r="D526" s="24" t="s">
        <v>43</v>
      </c>
      <c r="E526" s="25" t="s">
        <v>563</v>
      </c>
    </row>
    <row r="527" spans="1:5">
      <c r="A527" t="s">
        <v>109</v>
      </c>
      <c r="B527" t="s">
        <v>110</v>
      </c>
      <c r="C527" t="s">
        <v>487</v>
      </c>
      <c r="D527" s="24" t="s">
        <v>43</v>
      </c>
      <c r="E527" s="25" t="s">
        <v>564</v>
      </c>
    </row>
    <row r="528" spans="1:5">
      <c r="A528" t="s">
        <v>109</v>
      </c>
      <c r="B528" t="s">
        <v>110</v>
      </c>
      <c r="C528" t="s">
        <v>487</v>
      </c>
      <c r="D528" s="24" t="s">
        <v>43</v>
      </c>
      <c r="E528" s="25" t="s">
        <v>565</v>
      </c>
    </row>
    <row r="529" spans="1:5">
      <c r="A529" t="s">
        <v>109</v>
      </c>
      <c r="B529" t="s">
        <v>110</v>
      </c>
      <c r="C529" t="s">
        <v>487</v>
      </c>
      <c r="D529" s="24" t="s">
        <v>43</v>
      </c>
      <c r="E529" s="25" t="s">
        <v>566</v>
      </c>
    </row>
    <row r="530" spans="1:5">
      <c r="A530" t="s">
        <v>109</v>
      </c>
      <c r="B530" t="s">
        <v>110</v>
      </c>
      <c r="C530" t="s">
        <v>487</v>
      </c>
      <c r="D530" s="24" t="s">
        <v>43</v>
      </c>
      <c r="E530" s="25" t="s">
        <v>567</v>
      </c>
    </row>
    <row r="531" spans="1:5">
      <c r="A531" t="s">
        <v>109</v>
      </c>
      <c r="B531" t="s">
        <v>110</v>
      </c>
      <c r="C531" t="s">
        <v>487</v>
      </c>
      <c r="D531" s="24" t="s">
        <v>43</v>
      </c>
      <c r="E531" s="25" t="s">
        <v>568</v>
      </c>
    </row>
    <row r="532" spans="1:5">
      <c r="A532" t="s">
        <v>109</v>
      </c>
      <c r="B532" t="s">
        <v>110</v>
      </c>
      <c r="C532" t="s">
        <v>487</v>
      </c>
      <c r="D532" s="24" t="s">
        <v>43</v>
      </c>
      <c r="E532" s="25" t="s">
        <v>569</v>
      </c>
    </row>
    <row r="533" spans="1:5">
      <c r="A533" t="s">
        <v>109</v>
      </c>
      <c r="B533" t="s">
        <v>110</v>
      </c>
      <c r="C533" t="s">
        <v>487</v>
      </c>
      <c r="D533" s="24" t="s">
        <v>43</v>
      </c>
      <c r="E533" s="25" t="s">
        <v>570</v>
      </c>
    </row>
    <row r="534" spans="1:5">
      <c r="A534" t="s">
        <v>109</v>
      </c>
      <c r="B534" t="s">
        <v>110</v>
      </c>
      <c r="C534" t="s">
        <v>487</v>
      </c>
      <c r="D534" s="24" t="s">
        <v>43</v>
      </c>
      <c r="E534" s="25" t="s">
        <v>571</v>
      </c>
    </row>
    <row r="535" spans="1:5">
      <c r="A535" t="s">
        <v>109</v>
      </c>
      <c r="B535" t="s">
        <v>110</v>
      </c>
      <c r="C535" t="s">
        <v>487</v>
      </c>
      <c r="D535" s="24" t="s">
        <v>43</v>
      </c>
      <c r="E535" s="25" t="s">
        <v>572</v>
      </c>
    </row>
    <row r="536" spans="1:5">
      <c r="E536" s="23" t="s">
        <v>573</v>
      </c>
    </row>
    <row r="537" spans="1:5">
      <c r="A537" t="s">
        <v>109</v>
      </c>
      <c r="B537" t="s">
        <v>118</v>
      </c>
      <c r="C537" t="s">
        <v>487</v>
      </c>
      <c r="D537" s="24" t="s">
        <v>43</v>
      </c>
      <c r="E537" s="25" t="s">
        <v>574</v>
      </c>
    </row>
    <row r="538" spans="1:5">
      <c r="A538" t="s">
        <v>109</v>
      </c>
      <c r="B538" t="s">
        <v>118</v>
      </c>
      <c r="C538" t="s">
        <v>487</v>
      </c>
      <c r="D538" s="24" t="s">
        <v>43</v>
      </c>
      <c r="E538" s="25" t="s">
        <v>575</v>
      </c>
    </row>
    <row r="539" spans="1:5">
      <c r="A539" t="s">
        <v>109</v>
      </c>
      <c r="B539" t="s">
        <v>118</v>
      </c>
      <c r="C539" t="s">
        <v>487</v>
      </c>
      <c r="D539" s="24" t="s">
        <v>43</v>
      </c>
      <c r="E539" s="25" t="s">
        <v>576</v>
      </c>
    </row>
    <row r="540" spans="1:5">
      <c r="A540" t="s">
        <v>109</v>
      </c>
      <c r="B540" t="s">
        <v>118</v>
      </c>
      <c r="C540" t="s">
        <v>487</v>
      </c>
      <c r="D540" s="24" t="s">
        <v>43</v>
      </c>
      <c r="E540" s="25" t="s">
        <v>577</v>
      </c>
    </row>
    <row r="541" spans="1:5">
      <c r="A541" t="s">
        <v>109</v>
      </c>
      <c r="B541" t="s">
        <v>118</v>
      </c>
      <c r="C541" t="s">
        <v>487</v>
      </c>
      <c r="D541" s="24" t="s">
        <v>43</v>
      </c>
      <c r="E541" s="25" t="s">
        <v>578</v>
      </c>
    </row>
    <row r="542" spans="1:5">
      <c r="A542" t="s">
        <v>109</v>
      </c>
      <c r="B542" t="s">
        <v>118</v>
      </c>
      <c r="C542" t="s">
        <v>487</v>
      </c>
      <c r="D542" s="24" t="s">
        <v>43</v>
      </c>
      <c r="E542" s="25" t="s">
        <v>579</v>
      </c>
    </row>
    <row r="543" spans="1:5">
      <c r="E543" s="23" t="s">
        <v>580</v>
      </c>
    </row>
    <row r="544" spans="1:5">
      <c r="A544" t="s">
        <v>109</v>
      </c>
      <c r="B544" s="8" t="s">
        <v>124</v>
      </c>
      <c r="C544" t="s">
        <v>487</v>
      </c>
      <c r="D544" s="24" t="s">
        <v>43</v>
      </c>
      <c r="E544" s="25" t="s">
        <v>581</v>
      </c>
    </row>
    <row r="545" spans="1:5">
      <c r="A545" t="s">
        <v>109</v>
      </c>
      <c r="B545" s="8" t="s">
        <v>124</v>
      </c>
      <c r="C545" t="s">
        <v>487</v>
      </c>
      <c r="D545" s="24" t="s">
        <v>43</v>
      </c>
      <c r="E545" s="25" t="s">
        <v>582</v>
      </c>
    </row>
    <row r="546" spans="1:5">
      <c r="A546" t="s">
        <v>109</v>
      </c>
      <c r="B546" s="8" t="s">
        <v>124</v>
      </c>
      <c r="C546" t="s">
        <v>487</v>
      </c>
      <c r="D546" s="24" t="s">
        <v>43</v>
      </c>
      <c r="E546" s="25" t="s">
        <v>583</v>
      </c>
    </row>
    <row r="547" spans="1:5">
      <c r="A547" t="s">
        <v>109</v>
      </c>
      <c r="B547" s="8" t="s">
        <v>124</v>
      </c>
      <c r="C547" t="s">
        <v>487</v>
      </c>
      <c r="D547" s="24" t="s">
        <v>43</v>
      </c>
      <c r="E547" s="25" t="s">
        <v>584</v>
      </c>
    </row>
    <row r="548" spans="1:5">
      <c r="A548" t="s">
        <v>109</v>
      </c>
      <c r="B548" s="8" t="s">
        <v>124</v>
      </c>
      <c r="C548" t="s">
        <v>487</v>
      </c>
      <c r="D548" s="24" t="s">
        <v>43</v>
      </c>
      <c r="E548" s="25" t="s">
        <v>585</v>
      </c>
    </row>
    <row r="549" spans="1:5">
      <c r="A549" t="s">
        <v>109</v>
      </c>
      <c r="B549" s="8" t="s">
        <v>124</v>
      </c>
      <c r="C549" t="s">
        <v>487</v>
      </c>
      <c r="D549" s="24" t="s">
        <v>43</v>
      </c>
      <c r="E549" s="25" t="s">
        <v>586</v>
      </c>
    </row>
    <row r="550" spans="1:5">
      <c r="A550" t="s">
        <v>109</v>
      </c>
      <c r="B550" s="8" t="s">
        <v>124</v>
      </c>
      <c r="C550" t="s">
        <v>487</v>
      </c>
      <c r="D550" s="24" t="s">
        <v>43</v>
      </c>
      <c r="E550" s="25" t="s">
        <v>587</v>
      </c>
    </row>
    <row r="551" spans="1:5">
      <c r="A551" t="s">
        <v>109</v>
      </c>
      <c r="B551" s="8" t="s">
        <v>124</v>
      </c>
      <c r="C551" t="s">
        <v>487</v>
      </c>
      <c r="D551" s="24" t="s">
        <v>43</v>
      </c>
      <c r="E551" s="25" t="s">
        <v>588</v>
      </c>
    </row>
    <row r="552" spans="1:5">
      <c r="A552" t="s">
        <v>109</v>
      </c>
      <c r="B552" s="8" t="s">
        <v>124</v>
      </c>
      <c r="C552" t="s">
        <v>487</v>
      </c>
      <c r="D552" s="24" t="s">
        <v>43</v>
      </c>
      <c r="E552" s="25" t="s">
        <v>589</v>
      </c>
    </row>
    <row r="553" spans="1:5">
      <c r="A553" t="s">
        <v>109</v>
      </c>
      <c r="B553" s="8" t="s">
        <v>124</v>
      </c>
      <c r="C553" t="s">
        <v>487</v>
      </c>
      <c r="D553" s="24" t="s">
        <v>43</v>
      </c>
      <c r="E553" s="25" t="s">
        <v>590</v>
      </c>
    </row>
    <row r="554" spans="1:5">
      <c r="A554" t="s">
        <v>109</v>
      </c>
      <c r="B554" s="8" t="s">
        <v>124</v>
      </c>
      <c r="C554" t="s">
        <v>487</v>
      </c>
      <c r="D554" s="24" t="s">
        <v>43</v>
      </c>
      <c r="E554" s="25" t="s">
        <v>591</v>
      </c>
    </row>
    <row r="555" spans="1:5" ht="17">
      <c r="E555" s="22" t="s">
        <v>592</v>
      </c>
    </row>
    <row r="556" spans="1:5">
      <c r="E556" s="23" t="s">
        <v>593</v>
      </c>
    </row>
    <row r="557" spans="1:5">
      <c r="A557" t="s">
        <v>134</v>
      </c>
      <c r="B557" t="s">
        <v>135</v>
      </c>
      <c r="C557" t="s">
        <v>487</v>
      </c>
      <c r="D557" s="24" t="s">
        <v>43</v>
      </c>
      <c r="E557" s="25" t="s">
        <v>594</v>
      </c>
    </row>
    <row r="558" spans="1:5">
      <c r="A558" t="s">
        <v>134</v>
      </c>
      <c r="B558" t="s">
        <v>135</v>
      </c>
      <c r="C558" t="s">
        <v>487</v>
      </c>
      <c r="D558" s="24" t="s">
        <v>43</v>
      </c>
      <c r="E558" s="25" t="s">
        <v>595</v>
      </c>
    </row>
    <row r="559" spans="1:5">
      <c r="A559" t="s">
        <v>134</v>
      </c>
      <c r="B559" t="s">
        <v>135</v>
      </c>
      <c r="C559" t="s">
        <v>487</v>
      </c>
      <c r="D559" s="24" t="s">
        <v>43</v>
      </c>
      <c r="E559" s="25" t="s">
        <v>596</v>
      </c>
    </row>
    <row r="560" spans="1:5">
      <c r="A560" t="s">
        <v>134</v>
      </c>
      <c r="B560" t="s">
        <v>135</v>
      </c>
      <c r="C560" t="s">
        <v>487</v>
      </c>
      <c r="D560" s="24" t="s">
        <v>43</v>
      </c>
      <c r="E560" s="25" t="s">
        <v>597</v>
      </c>
    </row>
    <row r="561" spans="1:5">
      <c r="E561" s="23" t="s">
        <v>288</v>
      </c>
    </row>
    <row r="562" spans="1:5">
      <c r="A562" t="s">
        <v>134</v>
      </c>
      <c r="B562" t="s">
        <v>144</v>
      </c>
      <c r="C562" t="s">
        <v>487</v>
      </c>
      <c r="D562" s="24" t="s">
        <v>43</v>
      </c>
      <c r="E562" s="25" t="s">
        <v>598</v>
      </c>
    </row>
    <row r="563" spans="1:5">
      <c r="A563" t="s">
        <v>134</v>
      </c>
      <c r="B563" t="s">
        <v>144</v>
      </c>
      <c r="C563" t="s">
        <v>487</v>
      </c>
      <c r="D563" s="24" t="s">
        <v>43</v>
      </c>
      <c r="E563" s="25" t="s">
        <v>599</v>
      </c>
    </row>
    <row r="564" spans="1:5">
      <c r="A564" t="s">
        <v>134</v>
      </c>
      <c r="B564" t="s">
        <v>144</v>
      </c>
      <c r="C564" t="s">
        <v>487</v>
      </c>
      <c r="D564" s="24" t="s">
        <v>43</v>
      </c>
      <c r="E564" s="25" t="s">
        <v>600</v>
      </c>
    </row>
    <row r="565" spans="1:5">
      <c r="A565" t="s">
        <v>134</v>
      </c>
      <c r="B565" t="s">
        <v>144</v>
      </c>
      <c r="C565" t="s">
        <v>487</v>
      </c>
      <c r="D565" s="24" t="s">
        <v>43</v>
      </c>
      <c r="E565" s="25" t="s">
        <v>601</v>
      </c>
    </row>
    <row r="566" spans="1:5">
      <c r="E566" s="23" t="s">
        <v>602</v>
      </c>
    </row>
    <row r="567" spans="1:5">
      <c r="A567" t="s">
        <v>134</v>
      </c>
      <c r="B567" t="s">
        <v>294</v>
      </c>
      <c r="C567" t="s">
        <v>487</v>
      </c>
      <c r="D567" s="24" t="s">
        <v>43</v>
      </c>
      <c r="E567" s="25" t="s">
        <v>603</v>
      </c>
    </row>
    <row r="568" spans="1:5">
      <c r="A568" t="s">
        <v>134</v>
      </c>
      <c r="B568" t="s">
        <v>294</v>
      </c>
      <c r="C568" t="s">
        <v>487</v>
      </c>
      <c r="D568" s="24" t="s">
        <v>43</v>
      </c>
      <c r="E568" s="25" t="s">
        <v>604</v>
      </c>
    </row>
    <row r="569" spans="1:5">
      <c r="A569" t="s">
        <v>134</v>
      </c>
      <c r="B569" t="s">
        <v>294</v>
      </c>
      <c r="C569" t="s">
        <v>487</v>
      </c>
      <c r="D569" s="24" t="s">
        <v>43</v>
      </c>
      <c r="E569" s="25" t="s">
        <v>605</v>
      </c>
    </row>
    <row r="570" spans="1:5">
      <c r="A570" t="s">
        <v>134</v>
      </c>
      <c r="B570" t="s">
        <v>294</v>
      </c>
      <c r="C570" t="s">
        <v>487</v>
      </c>
      <c r="D570" s="24" t="s">
        <v>43</v>
      </c>
      <c r="E570" s="25" t="s">
        <v>606</v>
      </c>
    </row>
    <row r="571" spans="1:5">
      <c r="A571" t="s">
        <v>134</v>
      </c>
      <c r="B571" t="s">
        <v>294</v>
      </c>
      <c r="C571" t="s">
        <v>487</v>
      </c>
      <c r="D571" s="24" t="s">
        <v>43</v>
      </c>
      <c r="E571" s="25" t="s">
        <v>607</v>
      </c>
    </row>
    <row r="572" spans="1:5">
      <c r="E572" s="23" t="s">
        <v>296</v>
      </c>
    </row>
    <row r="573" spans="1:5">
      <c r="A573" t="s">
        <v>134</v>
      </c>
      <c r="B573" t="s">
        <v>149</v>
      </c>
      <c r="C573" t="s">
        <v>487</v>
      </c>
      <c r="D573" s="24" t="s">
        <v>43</v>
      </c>
      <c r="E573" s="25" t="s">
        <v>608</v>
      </c>
    </row>
    <row r="574" spans="1:5">
      <c r="A574" t="s">
        <v>134</v>
      </c>
      <c r="B574" t="s">
        <v>149</v>
      </c>
      <c r="C574" t="s">
        <v>487</v>
      </c>
      <c r="D574" s="24" t="s">
        <v>43</v>
      </c>
      <c r="E574" s="25" t="s">
        <v>609</v>
      </c>
    </row>
    <row r="575" spans="1:5">
      <c r="A575" t="s">
        <v>134</v>
      </c>
      <c r="B575" t="s">
        <v>149</v>
      </c>
      <c r="C575" t="s">
        <v>487</v>
      </c>
      <c r="D575" s="24" t="s">
        <v>43</v>
      </c>
      <c r="E575" s="25" t="s">
        <v>610</v>
      </c>
    </row>
    <row r="576" spans="1:5">
      <c r="A576" t="s">
        <v>134</v>
      </c>
      <c r="B576" t="s">
        <v>149</v>
      </c>
      <c r="C576" t="s">
        <v>487</v>
      </c>
      <c r="D576" s="24" t="s">
        <v>43</v>
      </c>
      <c r="E576" s="25" t="s">
        <v>611</v>
      </c>
    </row>
    <row r="577" spans="1:5" ht="17">
      <c r="E577" s="22" t="s">
        <v>612</v>
      </c>
    </row>
    <row r="578" spans="1:5">
      <c r="A578" t="s">
        <v>152</v>
      </c>
      <c r="B578" t="s">
        <v>152</v>
      </c>
      <c r="C578" t="s">
        <v>487</v>
      </c>
      <c r="D578" s="24" t="s">
        <v>43</v>
      </c>
      <c r="E578" s="25" t="s">
        <v>613</v>
      </c>
    </row>
    <row r="579" spans="1:5">
      <c r="A579" t="s">
        <v>152</v>
      </c>
      <c r="B579" t="s">
        <v>152</v>
      </c>
      <c r="C579" t="s">
        <v>487</v>
      </c>
      <c r="D579" s="24" t="s">
        <v>43</v>
      </c>
      <c r="E579" s="25" t="s">
        <v>614</v>
      </c>
    </row>
    <row r="580" spans="1:5">
      <c r="A580" t="s">
        <v>152</v>
      </c>
      <c r="B580" t="s">
        <v>152</v>
      </c>
      <c r="C580" t="s">
        <v>487</v>
      </c>
      <c r="D580" s="24" t="s">
        <v>43</v>
      </c>
      <c r="E580" s="25" t="s">
        <v>615</v>
      </c>
    </row>
    <row r="581" spans="1:5">
      <c r="A581" t="s">
        <v>152</v>
      </c>
      <c r="B581" t="s">
        <v>152</v>
      </c>
      <c r="C581" t="s">
        <v>487</v>
      </c>
      <c r="D581" s="24" t="s">
        <v>43</v>
      </c>
      <c r="E581" s="25" t="s">
        <v>616</v>
      </c>
    </row>
    <row r="582" spans="1:5">
      <c r="A582" t="s">
        <v>152</v>
      </c>
      <c r="B582" t="s">
        <v>152</v>
      </c>
      <c r="C582" t="s">
        <v>487</v>
      </c>
      <c r="D582" s="24" t="s">
        <v>43</v>
      </c>
      <c r="E582" s="25" t="s">
        <v>617</v>
      </c>
    </row>
    <row r="583" spans="1:5">
      <c r="A583" t="s">
        <v>152</v>
      </c>
      <c r="B583" t="s">
        <v>152</v>
      </c>
      <c r="C583" t="s">
        <v>487</v>
      </c>
      <c r="D583" s="24" t="s">
        <v>43</v>
      </c>
      <c r="E583" s="25" t="s">
        <v>618</v>
      </c>
    </row>
    <row r="584" spans="1:5">
      <c r="E584" s="26" t="s">
        <v>619</v>
      </c>
    </row>
    <row r="585" spans="1:5" ht="17">
      <c r="E585" s="22" t="s">
        <v>306</v>
      </c>
    </row>
    <row r="586" spans="1:5">
      <c r="E586" s="23" t="s">
        <v>620</v>
      </c>
    </row>
    <row r="587" spans="1:5">
      <c r="A587" t="s">
        <v>160</v>
      </c>
      <c r="B587" t="s">
        <v>161</v>
      </c>
      <c r="C587" t="s">
        <v>487</v>
      </c>
      <c r="D587" s="24" t="s">
        <v>43</v>
      </c>
      <c r="E587" s="25" t="s">
        <v>621</v>
      </c>
    </row>
    <row r="588" spans="1:5">
      <c r="A588" t="s">
        <v>160</v>
      </c>
      <c r="B588" t="s">
        <v>161</v>
      </c>
      <c r="C588" t="s">
        <v>487</v>
      </c>
      <c r="D588" s="24" t="s">
        <v>43</v>
      </c>
      <c r="E588" s="25" t="s">
        <v>622</v>
      </c>
    </row>
    <row r="589" spans="1:5">
      <c r="A589" t="s">
        <v>160</v>
      </c>
      <c r="B589" t="s">
        <v>161</v>
      </c>
      <c r="C589" t="s">
        <v>487</v>
      </c>
      <c r="D589" s="24" t="s">
        <v>43</v>
      </c>
      <c r="E589" s="25" t="s">
        <v>623</v>
      </c>
    </row>
    <row r="590" spans="1:5">
      <c r="A590" t="s">
        <v>160</v>
      </c>
      <c r="B590" t="s">
        <v>161</v>
      </c>
      <c r="C590" t="s">
        <v>487</v>
      </c>
      <c r="D590" s="24" t="s">
        <v>43</v>
      </c>
      <c r="E590" s="25" t="s">
        <v>624</v>
      </c>
    </row>
    <row r="591" spans="1:5" ht="15" customHeight="1">
      <c r="A591" t="s">
        <v>160</v>
      </c>
      <c r="B591" t="s">
        <v>161</v>
      </c>
      <c r="C591" t="s">
        <v>487</v>
      </c>
      <c r="D591" s="24" t="s">
        <v>43</v>
      </c>
      <c r="E591" s="25" t="s">
        <v>625</v>
      </c>
    </row>
    <row r="592" spans="1:5">
      <c r="A592" t="s">
        <v>160</v>
      </c>
      <c r="B592" t="s">
        <v>161</v>
      </c>
      <c r="C592" t="s">
        <v>487</v>
      </c>
      <c r="D592" s="24" t="s">
        <v>43</v>
      </c>
      <c r="E592" s="25" t="s">
        <v>626</v>
      </c>
    </row>
    <row r="593" spans="1:5">
      <c r="A593" t="s">
        <v>160</v>
      </c>
      <c r="B593" t="s">
        <v>161</v>
      </c>
      <c r="C593" t="s">
        <v>487</v>
      </c>
      <c r="D593" s="24" t="s">
        <v>43</v>
      </c>
      <c r="E593" s="25" t="s">
        <v>627</v>
      </c>
    </row>
    <row r="594" spans="1:5">
      <c r="A594" t="s">
        <v>160</v>
      </c>
      <c r="B594" t="s">
        <v>161</v>
      </c>
      <c r="C594" t="s">
        <v>487</v>
      </c>
      <c r="D594" s="24" t="s">
        <v>43</v>
      </c>
      <c r="E594" s="25" t="s">
        <v>628</v>
      </c>
    </row>
    <row r="595" spans="1:5">
      <c r="E595" s="23" t="s">
        <v>478</v>
      </c>
    </row>
    <row r="596" spans="1:5">
      <c r="A596" t="s">
        <v>160</v>
      </c>
      <c r="B596" t="s">
        <v>165</v>
      </c>
      <c r="C596" t="s">
        <v>487</v>
      </c>
      <c r="D596" s="24" t="s">
        <v>43</v>
      </c>
      <c r="E596" s="25" t="s">
        <v>629</v>
      </c>
    </row>
    <row r="597" spans="1:5">
      <c r="A597" t="s">
        <v>160</v>
      </c>
      <c r="B597" t="s">
        <v>165</v>
      </c>
      <c r="C597" t="s">
        <v>487</v>
      </c>
      <c r="D597" s="24" t="s">
        <v>43</v>
      </c>
      <c r="E597" s="25" t="s">
        <v>630</v>
      </c>
    </row>
    <row r="598" spans="1:5">
      <c r="A598" t="s">
        <v>160</v>
      </c>
      <c r="B598" t="s">
        <v>165</v>
      </c>
      <c r="C598" t="s">
        <v>487</v>
      </c>
      <c r="D598" s="24" t="s">
        <v>43</v>
      </c>
      <c r="E598" s="25" t="s">
        <v>631</v>
      </c>
    </row>
    <row r="599" spans="1:5">
      <c r="A599" t="s">
        <v>160</v>
      </c>
      <c r="B599" t="s">
        <v>165</v>
      </c>
      <c r="C599" t="s">
        <v>487</v>
      </c>
      <c r="D599" s="24" t="s">
        <v>43</v>
      </c>
      <c r="E599" s="25" t="s">
        <v>632</v>
      </c>
    </row>
    <row r="600" spans="1:5">
      <c r="A600" t="s">
        <v>160</v>
      </c>
      <c r="B600" t="s">
        <v>165</v>
      </c>
      <c r="C600" t="s">
        <v>487</v>
      </c>
      <c r="D600" s="24" t="s">
        <v>43</v>
      </c>
      <c r="E600" s="25" t="s">
        <v>633</v>
      </c>
    </row>
    <row r="601" spans="1:5">
      <c r="A601" t="s">
        <v>160</v>
      </c>
      <c r="B601" t="s">
        <v>165</v>
      </c>
      <c r="C601" t="s">
        <v>487</v>
      </c>
      <c r="D601" s="24" t="s">
        <v>43</v>
      </c>
      <c r="E601" s="25" t="s">
        <v>634</v>
      </c>
    </row>
    <row r="602" spans="1:5" ht="19.5">
      <c r="E602" s="21" t="s">
        <v>635</v>
      </c>
    </row>
    <row r="603" spans="1:5" ht="17">
      <c r="E603" s="22" t="s">
        <v>200</v>
      </c>
    </row>
    <row r="604" spans="1:5">
      <c r="E604" s="27" t="s">
        <v>636</v>
      </c>
    </row>
    <row r="605" spans="1:5">
      <c r="A605" t="s">
        <v>67</v>
      </c>
      <c r="B605" t="s">
        <v>67</v>
      </c>
      <c r="C605" t="s">
        <v>637</v>
      </c>
      <c r="D605" s="24" t="s">
        <v>43</v>
      </c>
      <c r="E605" s="25" t="s">
        <v>638</v>
      </c>
    </row>
    <row r="606" spans="1:5">
      <c r="A606" t="s">
        <v>67</v>
      </c>
      <c r="B606" t="s">
        <v>67</v>
      </c>
      <c r="C606" t="s">
        <v>637</v>
      </c>
      <c r="D606" s="24" t="s">
        <v>43</v>
      </c>
      <c r="E606" s="25" t="s">
        <v>639</v>
      </c>
    </row>
    <row r="607" spans="1:5">
      <c r="A607" t="s">
        <v>67</v>
      </c>
      <c r="B607" t="s">
        <v>67</v>
      </c>
      <c r="C607" t="s">
        <v>637</v>
      </c>
      <c r="D607" s="24" t="s">
        <v>43</v>
      </c>
      <c r="E607" s="25" t="s">
        <v>640</v>
      </c>
    </row>
    <row r="608" spans="1:5">
      <c r="A608" t="s">
        <v>67</v>
      </c>
      <c r="B608" t="s">
        <v>67</v>
      </c>
      <c r="C608" t="s">
        <v>637</v>
      </c>
      <c r="D608" s="24" t="s">
        <v>43</v>
      </c>
      <c r="E608" s="25" t="s">
        <v>641</v>
      </c>
    </row>
    <row r="609" spans="1:5">
      <c r="A609" t="s">
        <v>67</v>
      </c>
      <c r="B609" t="s">
        <v>67</v>
      </c>
      <c r="C609" t="s">
        <v>637</v>
      </c>
      <c r="D609" s="24" t="s">
        <v>43</v>
      </c>
      <c r="E609" s="25" t="s">
        <v>642</v>
      </c>
    </row>
    <row r="610" spans="1:5">
      <c r="A610" t="s">
        <v>67</v>
      </c>
      <c r="B610" t="s">
        <v>67</v>
      </c>
      <c r="C610" t="s">
        <v>637</v>
      </c>
      <c r="D610" s="24" t="s">
        <v>43</v>
      </c>
      <c r="E610" s="25" t="s">
        <v>643</v>
      </c>
    </row>
    <row r="611" spans="1:5">
      <c r="A611" t="s">
        <v>67</v>
      </c>
      <c r="B611" t="s">
        <v>67</v>
      </c>
      <c r="C611" t="s">
        <v>637</v>
      </c>
      <c r="D611" s="24" t="s">
        <v>43</v>
      </c>
      <c r="E611" s="25" t="s">
        <v>644</v>
      </c>
    </row>
    <row r="612" spans="1:5">
      <c r="A612" t="s">
        <v>67</v>
      </c>
      <c r="B612" t="s">
        <v>67</v>
      </c>
      <c r="C612" t="s">
        <v>637</v>
      </c>
      <c r="D612" s="24" t="s">
        <v>43</v>
      </c>
      <c r="E612" s="25" t="s">
        <v>645</v>
      </c>
    </row>
    <row r="613" spans="1:5">
      <c r="A613" t="s">
        <v>67</v>
      </c>
      <c r="B613" t="s">
        <v>67</v>
      </c>
      <c r="C613" t="s">
        <v>637</v>
      </c>
      <c r="D613" s="24" t="s">
        <v>43</v>
      </c>
      <c r="E613" s="25" t="s">
        <v>646</v>
      </c>
    </row>
    <row r="614" spans="1:5">
      <c r="E614" s="27" t="s">
        <v>647</v>
      </c>
    </row>
    <row r="615" spans="1:5">
      <c r="A615" t="s">
        <v>81</v>
      </c>
      <c r="B615" t="s">
        <v>81</v>
      </c>
      <c r="C615" t="s">
        <v>637</v>
      </c>
      <c r="D615" s="24" t="s">
        <v>43</v>
      </c>
      <c r="E615" s="25" t="s">
        <v>648</v>
      </c>
    </row>
    <row r="616" spans="1:5">
      <c r="A616" t="s">
        <v>81</v>
      </c>
      <c r="B616" t="s">
        <v>81</v>
      </c>
      <c r="C616" t="s">
        <v>637</v>
      </c>
      <c r="D616" s="24" t="s">
        <v>43</v>
      </c>
      <c r="E616" s="25" t="s">
        <v>649</v>
      </c>
    </row>
    <row r="617" spans="1:5">
      <c r="A617" t="s">
        <v>81</v>
      </c>
      <c r="B617" t="s">
        <v>81</v>
      </c>
      <c r="C617" t="s">
        <v>637</v>
      </c>
      <c r="D617" s="24" t="s">
        <v>43</v>
      </c>
      <c r="E617" s="25" t="s">
        <v>650</v>
      </c>
    </row>
    <row r="618" spans="1:5" ht="17">
      <c r="E618" s="22" t="s">
        <v>651</v>
      </c>
    </row>
    <row r="619" spans="1:5">
      <c r="A619" t="s">
        <v>91</v>
      </c>
      <c r="B619" t="s">
        <v>91</v>
      </c>
      <c r="C619" t="s">
        <v>637</v>
      </c>
      <c r="D619" s="24" t="s">
        <v>43</v>
      </c>
      <c r="E619" s="30" t="s">
        <v>652</v>
      </c>
    </row>
    <row r="620" spans="1:5">
      <c r="A620" t="s">
        <v>91</v>
      </c>
      <c r="B620" t="s">
        <v>91</v>
      </c>
      <c r="C620" t="s">
        <v>637</v>
      </c>
      <c r="D620" s="24" t="s">
        <v>43</v>
      </c>
      <c r="E620" s="30" t="s">
        <v>653</v>
      </c>
    </row>
    <row r="621" spans="1:5">
      <c r="E621" s="31" t="s">
        <v>654</v>
      </c>
    </row>
    <row r="622" spans="1:5">
      <c r="A622" t="s">
        <v>91</v>
      </c>
      <c r="B622" t="s">
        <v>91</v>
      </c>
      <c r="C622" t="s">
        <v>637</v>
      </c>
      <c r="D622" s="24" t="s">
        <v>43</v>
      </c>
      <c r="E622" s="25" t="s">
        <v>655</v>
      </c>
    </row>
    <row r="623" spans="1:5">
      <c r="A623" t="s">
        <v>91</v>
      </c>
      <c r="B623" t="s">
        <v>91</v>
      </c>
      <c r="C623" t="s">
        <v>637</v>
      </c>
      <c r="D623" s="24" t="s">
        <v>43</v>
      </c>
      <c r="E623" s="25" t="s">
        <v>656</v>
      </c>
    </row>
    <row r="624" spans="1:5" ht="17">
      <c r="E624" s="22" t="s">
        <v>94</v>
      </c>
    </row>
    <row r="625" spans="1:5">
      <c r="E625" s="23" t="s">
        <v>657</v>
      </c>
    </row>
    <row r="626" spans="1:5">
      <c r="A626" t="s">
        <v>96</v>
      </c>
      <c r="B626" t="s">
        <v>414</v>
      </c>
      <c r="C626" t="s">
        <v>637</v>
      </c>
      <c r="D626" s="24" t="s">
        <v>43</v>
      </c>
      <c r="E626" s="25" t="s">
        <v>658</v>
      </c>
    </row>
    <row r="627" spans="1:5">
      <c r="A627" t="s">
        <v>96</v>
      </c>
      <c r="B627" t="s">
        <v>414</v>
      </c>
      <c r="C627" t="s">
        <v>637</v>
      </c>
      <c r="D627" s="24" t="s">
        <v>43</v>
      </c>
      <c r="E627" s="25" t="s">
        <v>659</v>
      </c>
    </row>
    <row r="628" spans="1:5">
      <c r="A628" t="s">
        <v>96</v>
      </c>
      <c r="B628" t="s">
        <v>414</v>
      </c>
      <c r="C628" t="s">
        <v>637</v>
      </c>
      <c r="D628" s="24" t="s">
        <v>43</v>
      </c>
      <c r="E628" s="25" t="s">
        <v>660</v>
      </c>
    </row>
    <row r="629" spans="1:5">
      <c r="A629" t="s">
        <v>96</v>
      </c>
      <c r="B629" t="s">
        <v>414</v>
      </c>
      <c r="C629" t="s">
        <v>637</v>
      </c>
      <c r="D629" s="24" t="s">
        <v>43</v>
      </c>
      <c r="E629" s="25" t="s">
        <v>661</v>
      </c>
    </row>
    <row r="630" spans="1:5">
      <c r="E630" s="23" t="s">
        <v>662</v>
      </c>
    </row>
    <row r="631" spans="1:5">
      <c r="A631" t="s">
        <v>96</v>
      </c>
      <c r="B631" t="s">
        <v>97</v>
      </c>
      <c r="C631" t="s">
        <v>637</v>
      </c>
      <c r="D631" s="24" t="s">
        <v>43</v>
      </c>
      <c r="E631" s="25" t="s">
        <v>663</v>
      </c>
    </row>
    <row r="632" spans="1:5">
      <c r="A632" t="s">
        <v>96</v>
      </c>
      <c r="B632" t="s">
        <v>97</v>
      </c>
      <c r="C632" t="s">
        <v>637</v>
      </c>
      <c r="D632" s="24" t="s">
        <v>43</v>
      </c>
      <c r="E632" s="25" t="s">
        <v>664</v>
      </c>
    </row>
    <row r="633" spans="1:5" ht="17">
      <c r="E633" s="22" t="s">
        <v>665</v>
      </c>
    </row>
    <row r="634" spans="1:5">
      <c r="A634" t="s">
        <v>105</v>
      </c>
      <c r="B634" t="s">
        <v>105</v>
      </c>
      <c r="C634" t="s">
        <v>637</v>
      </c>
      <c r="D634" s="24" t="s">
        <v>43</v>
      </c>
      <c r="E634" s="25" t="s">
        <v>666</v>
      </c>
    </row>
    <row r="635" spans="1:5">
      <c r="A635" t="s">
        <v>105</v>
      </c>
      <c r="B635" t="s">
        <v>105</v>
      </c>
      <c r="C635" t="s">
        <v>637</v>
      </c>
      <c r="D635" s="24" t="s">
        <v>43</v>
      </c>
      <c r="E635" s="25" t="s">
        <v>667</v>
      </c>
    </row>
    <row r="636" spans="1:5">
      <c r="A636" t="s">
        <v>105</v>
      </c>
      <c r="B636" t="s">
        <v>105</v>
      </c>
      <c r="C636" t="s">
        <v>637</v>
      </c>
      <c r="D636" s="24" t="s">
        <v>43</v>
      </c>
      <c r="E636" s="25" t="s">
        <v>668</v>
      </c>
    </row>
    <row r="637" spans="1:5">
      <c r="A637" t="s">
        <v>105</v>
      </c>
      <c r="B637" t="s">
        <v>105</v>
      </c>
      <c r="C637" t="s">
        <v>637</v>
      </c>
      <c r="D637" s="24" t="s">
        <v>43</v>
      </c>
      <c r="E637" s="25" t="s">
        <v>669</v>
      </c>
    </row>
    <row r="638" spans="1:5">
      <c r="A638" t="s">
        <v>105</v>
      </c>
      <c r="B638" t="s">
        <v>105</v>
      </c>
      <c r="C638" t="s">
        <v>637</v>
      </c>
      <c r="D638" s="24" t="s">
        <v>43</v>
      </c>
      <c r="E638" s="25" t="s">
        <v>670</v>
      </c>
    </row>
    <row r="639" spans="1:5">
      <c r="A639" t="s">
        <v>105</v>
      </c>
      <c r="B639" t="s">
        <v>105</v>
      </c>
      <c r="C639" t="s">
        <v>637</v>
      </c>
      <c r="D639" s="24" t="s">
        <v>43</v>
      </c>
      <c r="E639" s="25" t="s">
        <v>671</v>
      </c>
    </row>
    <row r="640" spans="1:5">
      <c r="A640" t="s">
        <v>105</v>
      </c>
      <c r="B640" t="s">
        <v>105</v>
      </c>
      <c r="C640" t="s">
        <v>637</v>
      </c>
      <c r="D640" s="24" t="s">
        <v>43</v>
      </c>
      <c r="E640" s="25" t="s">
        <v>672</v>
      </c>
    </row>
    <row r="641" spans="1:5">
      <c r="A641" t="s">
        <v>105</v>
      </c>
      <c r="B641" t="s">
        <v>105</v>
      </c>
      <c r="C641" t="s">
        <v>637</v>
      </c>
      <c r="D641" s="24" t="s">
        <v>43</v>
      </c>
      <c r="E641" s="25" t="s">
        <v>673</v>
      </c>
    </row>
    <row r="642" spans="1:5">
      <c r="A642" t="s">
        <v>105</v>
      </c>
      <c r="B642" t="s">
        <v>105</v>
      </c>
      <c r="C642" t="s">
        <v>637</v>
      </c>
      <c r="D642" s="24" t="s">
        <v>43</v>
      </c>
      <c r="E642" s="25" t="s">
        <v>674</v>
      </c>
    </row>
    <row r="643" spans="1:5">
      <c r="A643" t="s">
        <v>105</v>
      </c>
      <c r="B643" t="s">
        <v>105</v>
      </c>
      <c r="C643" t="s">
        <v>637</v>
      </c>
      <c r="D643" s="24" t="s">
        <v>43</v>
      </c>
      <c r="E643" s="25" t="s">
        <v>675</v>
      </c>
    </row>
    <row r="644" spans="1:5">
      <c r="A644" t="s">
        <v>105</v>
      </c>
      <c r="B644" t="s">
        <v>105</v>
      </c>
      <c r="C644" t="s">
        <v>637</v>
      </c>
      <c r="D644" s="24" t="s">
        <v>43</v>
      </c>
      <c r="E644" s="25" t="s">
        <v>676</v>
      </c>
    </row>
    <row r="645" spans="1:5" ht="17">
      <c r="E645" s="22" t="s">
        <v>677</v>
      </c>
    </row>
    <row r="646" spans="1:5">
      <c r="E646" s="23" t="s">
        <v>678</v>
      </c>
    </row>
    <row r="647" spans="1:5">
      <c r="A647" t="s">
        <v>109</v>
      </c>
      <c r="B647" t="s">
        <v>110</v>
      </c>
      <c r="C647" t="s">
        <v>637</v>
      </c>
      <c r="D647" s="24" t="s">
        <v>43</v>
      </c>
      <c r="E647" s="25" t="s">
        <v>679</v>
      </c>
    </row>
    <row r="648" spans="1:5">
      <c r="A648" t="s">
        <v>109</v>
      </c>
      <c r="B648" t="s">
        <v>110</v>
      </c>
      <c r="C648" t="s">
        <v>637</v>
      </c>
      <c r="D648" s="24" t="s">
        <v>43</v>
      </c>
      <c r="E648" s="25" t="s">
        <v>680</v>
      </c>
    </row>
    <row r="649" spans="1:5">
      <c r="A649" t="s">
        <v>109</v>
      </c>
      <c r="B649" t="s">
        <v>110</v>
      </c>
      <c r="C649" t="s">
        <v>637</v>
      </c>
      <c r="D649" s="24" t="s">
        <v>43</v>
      </c>
      <c r="E649" s="25" t="s">
        <v>681</v>
      </c>
    </row>
    <row r="650" spans="1:5">
      <c r="A650" t="s">
        <v>109</v>
      </c>
      <c r="B650" t="s">
        <v>110</v>
      </c>
      <c r="C650" t="s">
        <v>637</v>
      </c>
      <c r="D650" s="24" t="s">
        <v>43</v>
      </c>
      <c r="E650" s="25" t="s">
        <v>682</v>
      </c>
    </row>
    <row r="651" spans="1:5">
      <c r="A651" t="s">
        <v>109</v>
      </c>
      <c r="B651" t="s">
        <v>110</v>
      </c>
      <c r="C651" t="s">
        <v>637</v>
      </c>
      <c r="D651" s="24" t="s">
        <v>43</v>
      </c>
      <c r="E651" s="25" t="s">
        <v>683</v>
      </c>
    </row>
    <row r="652" spans="1:5">
      <c r="A652" t="s">
        <v>109</v>
      </c>
      <c r="B652" t="s">
        <v>110</v>
      </c>
      <c r="C652" t="s">
        <v>637</v>
      </c>
      <c r="D652" s="24" t="s">
        <v>43</v>
      </c>
      <c r="E652" s="25" t="s">
        <v>684</v>
      </c>
    </row>
    <row r="653" spans="1:5">
      <c r="A653" t="s">
        <v>109</v>
      </c>
      <c r="B653" t="s">
        <v>110</v>
      </c>
      <c r="C653" t="s">
        <v>637</v>
      </c>
      <c r="D653" s="24" t="s">
        <v>43</v>
      </c>
      <c r="E653" s="25" t="s">
        <v>685</v>
      </c>
    </row>
    <row r="654" spans="1:5">
      <c r="A654" t="s">
        <v>109</v>
      </c>
      <c r="B654" t="s">
        <v>110</v>
      </c>
      <c r="C654" t="s">
        <v>637</v>
      </c>
      <c r="D654" s="24" t="s">
        <v>43</v>
      </c>
      <c r="E654" s="25" t="s">
        <v>686</v>
      </c>
    </row>
    <row r="655" spans="1:5">
      <c r="A655" t="s">
        <v>109</v>
      </c>
      <c r="B655" t="s">
        <v>110</v>
      </c>
      <c r="C655" t="s">
        <v>637</v>
      </c>
      <c r="D655" s="24" t="s">
        <v>43</v>
      </c>
      <c r="E655" s="25" t="s">
        <v>687</v>
      </c>
    </row>
    <row r="656" spans="1:5">
      <c r="E656" s="23" t="s">
        <v>688</v>
      </c>
    </row>
    <row r="657" spans="1:5">
      <c r="A657" t="s">
        <v>109</v>
      </c>
      <c r="B657" t="s">
        <v>118</v>
      </c>
      <c r="C657" t="s">
        <v>637</v>
      </c>
      <c r="D657" s="24" t="s">
        <v>43</v>
      </c>
      <c r="E657" s="25" t="s">
        <v>689</v>
      </c>
    </row>
    <row r="658" spans="1:5">
      <c r="A658" t="s">
        <v>109</v>
      </c>
      <c r="B658" t="s">
        <v>118</v>
      </c>
      <c r="C658" t="s">
        <v>637</v>
      </c>
      <c r="D658" s="24" t="s">
        <v>43</v>
      </c>
      <c r="E658" s="25" t="s">
        <v>690</v>
      </c>
    </row>
    <row r="659" spans="1:5">
      <c r="A659" t="s">
        <v>109</v>
      </c>
      <c r="B659" t="s">
        <v>118</v>
      </c>
      <c r="C659" t="s">
        <v>637</v>
      </c>
      <c r="D659" s="24" t="s">
        <v>43</v>
      </c>
      <c r="E659" s="25" t="s">
        <v>691</v>
      </c>
    </row>
    <row r="660" spans="1:5">
      <c r="A660" t="s">
        <v>109</v>
      </c>
      <c r="B660" t="s">
        <v>118</v>
      </c>
      <c r="C660" t="s">
        <v>637</v>
      </c>
      <c r="D660" s="24" t="s">
        <v>43</v>
      </c>
      <c r="E660" s="25" t="s">
        <v>692</v>
      </c>
    </row>
    <row r="661" spans="1:5">
      <c r="E661" s="23" t="s">
        <v>693</v>
      </c>
    </row>
    <row r="662" spans="1:5" ht="17">
      <c r="A662" t="s">
        <v>109</v>
      </c>
      <c r="B662" s="8" t="s">
        <v>124</v>
      </c>
      <c r="C662" t="s">
        <v>637</v>
      </c>
      <c r="D662" s="24" t="s">
        <v>43</v>
      </c>
      <c r="E662" s="28" t="s">
        <v>694</v>
      </c>
    </row>
    <row r="663" spans="1:5" ht="17">
      <c r="A663" t="s">
        <v>109</v>
      </c>
      <c r="B663" s="8" t="s">
        <v>124</v>
      </c>
      <c r="C663" t="s">
        <v>637</v>
      </c>
      <c r="D663" s="24" t="s">
        <v>43</v>
      </c>
      <c r="E663" s="28" t="s">
        <v>695</v>
      </c>
    </row>
    <row r="664" spans="1:5" ht="17">
      <c r="A664" t="s">
        <v>109</v>
      </c>
      <c r="B664" s="8" t="s">
        <v>124</v>
      </c>
      <c r="C664" t="s">
        <v>637</v>
      </c>
      <c r="D664" s="24" t="s">
        <v>43</v>
      </c>
      <c r="E664" s="28" t="s">
        <v>696</v>
      </c>
    </row>
    <row r="665" spans="1:5" ht="17">
      <c r="A665" t="s">
        <v>109</v>
      </c>
      <c r="B665" s="8" t="s">
        <v>124</v>
      </c>
      <c r="C665" t="s">
        <v>637</v>
      </c>
      <c r="D665" s="24" t="s">
        <v>43</v>
      </c>
      <c r="E665" s="28" t="s">
        <v>697</v>
      </c>
    </row>
    <row r="666" spans="1:5" ht="17">
      <c r="A666" t="s">
        <v>109</v>
      </c>
      <c r="B666" s="8" t="s">
        <v>124</v>
      </c>
      <c r="C666" t="s">
        <v>637</v>
      </c>
      <c r="D666" s="24" t="s">
        <v>43</v>
      </c>
      <c r="E666" s="28" t="s">
        <v>698</v>
      </c>
    </row>
    <row r="667" spans="1:5" ht="17">
      <c r="E667" s="22" t="s">
        <v>132</v>
      </c>
    </row>
    <row r="668" spans="1:5">
      <c r="E668" s="23" t="s">
        <v>699</v>
      </c>
    </row>
    <row r="669" spans="1:5">
      <c r="A669" t="s">
        <v>134</v>
      </c>
      <c r="B669" t="s">
        <v>135</v>
      </c>
      <c r="C669" t="s">
        <v>637</v>
      </c>
      <c r="D669" s="24" t="s">
        <v>43</v>
      </c>
      <c r="E669" s="25" t="s">
        <v>700</v>
      </c>
    </row>
    <row r="670" spans="1:5">
      <c r="A670" t="s">
        <v>134</v>
      </c>
      <c r="B670" t="s">
        <v>135</v>
      </c>
      <c r="C670" t="s">
        <v>637</v>
      </c>
      <c r="D670" s="24" t="s">
        <v>43</v>
      </c>
      <c r="E670" s="25" t="s">
        <v>701</v>
      </c>
    </row>
    <row r="671" spans="1:5">
      <c r="A671" t="s">
        <v>134</v>
      </c>
      <c r="B671" t="s">
        <v>135</v>
      </c>
      <c r="C671" t="s">
        <v>637</v>
      </c>
      <c r="D671" s="24" t="s">
        <v>43</v>
      </c>
      <c r="E671" s="25" t="s">
        <v>702</v>
      </c>
    </row>
    <row r="672" spans="1:5">
      <c r="A672" t="s">
        <v>134</v>
      </c>
      <c r="B672" t="s">
        <v>135</v>
      </c>
      <c r="C672" t="s">
        <v>637</v>
      </c>
      <c r="D672" s="24" t="s">
        <v>43</v>
      </c>
      <c r="E672" s="25" t="s">
        <v>703</v>
      </c>
    </row>
    <row r="673" spans="1:5">
      <c r="E673" s="23" t="s">
        <v>704</v>
      </c>
    </row>
    <row r="674" spans="1:5">
      <c r="A674" t="s">
        <v>134</v>
      </c>
      <c r="B674" t="s">
        <v>144</v>
      </c>
      <c r="C674" t="s">
        <v>637</v>
      </c>
      <c r="D674" s="24" t="s">
        <v>43</v>
      </c>
      <c r="E674" s="25" t="s">
        <v>705</v>
      </c>
    </row>
    <row r="675" spans="1:5">
      <c r="A675" t="s">
        <v>134</v>
      </c>
      <c r="B675" t="s">
        <v>144</v>
      </c>
      <c r="C675" t="s">
        <v>637</v>
      </c>
      <c r="D675" s="24" t="s">
        <v>43</v>
      </c>
      <c r="E675" s="25" t="s">
        <v>706</v>
      </c>
    </row>
    <row r="676" spans="1:5">
      <c r="E676" s="23" t="s">
        <v>707</v>
      </c>
    </row>
    <row r="677" spans="1:5">
      <c r="A677" t="s">
        <v>134</v>
      </c>
      <c r="B677" t="s">
        <v>294</v>
      </c>
      <c r="C677" t="s">
        <v>637</v>
      </c>
      <c r="D677" s="24" t="s">
        <v>43</v>
      </c>
      <c r="E677" s="25" t="s">
        <v>708</v>
      </c>
    </row>
    <row r="678" spans="1:5">
      <c r="A678" t="s">
        <v>134</v>
      </c>
      <c r="B678" t="s">
        <v>294</v>
      </c>
      <c r="C678" t="s">
        <v>637</v>
      </c>
      <c r="D678" s="24" t="s">
        <v>43</v>
      </c>
      <c r="E678" s="25" t="s">
        <v>709</v>
      </c>
    </row>
    <row r="679" spans="1:5">
      <c r="A679" t="s">
        <v>134</v>
      </c>
      <c r="B679" t="s">
        <v>294</v>
      </c>
      <c r="C679" t="s">
        <v>637</v>
      </c>
      <c r="D679" s="24" t="s">
        <v>43</v>
      </c>
      <c r="E679" s="25" t="s">
        <v>710</v>
      </c>
    </row>
    <row r="680" spans="1:5">
      <c r="E680" s="23" t="s">
        <v>711</v>
      </c>
    </row>
    <row r="681" spans="1:5">
      <c r="A681" t="s">
        <v>134</v>
      </c>
      <c r="B681" t="s">
        <v>149</v>
      </c>
      <c r="C681" t="s">
        <v>637</v>
      </c>
      <c r="D681" s="24" t="s">
        <v>43</v>
      </c>
      <c r="E681" s="25" t="s">
        <v>712</v>
      </c>
    </row>
    <row r="682" spans="1:5">
      <c r="A682" t="s">
        <v>134</v>
      </c>
      <c r="B682" t="s">
        <v>149</v>
      </c>
      <c r="C682" t="s">
        <v>637</v>
      </c>
      <c r="D682" s="24" t="s">
        <v>43</v>
      </c>
      <c r="E682" s="25" t="s">
        <v>713</v>
      </c>
    </row>
    <row r="683" spans="1:5" ht="17">
      <c r="E683" s="22" t="s">
        <v>714</v>
      </c>
    </row>
    <row r="684" spans="1:5">
      <c r="A684" t="s">
        <v>152</v>
      </c>
      <c r="B684" t="s">
        <v>152</v>
      </c>
      <c r="C684" t="s">
        <v>637</v>
      </c>
      <c r="D684" s="24" t="s">
        <v>43</v>
      </c>
      <c r="E684" s="25" t="s">
        <v>715</v>
      </c>
    </row>
    <row r="685" spans="1:5">
      <c r="A685" t="s">
        <v>152</v>
      </c>
      <c r="B685" t="s">
        <v>152</v>
      </c>
      <c r="C685" t="s">
        <v>637</v>
      </c>
      <c r="D685" s="24" t="s">
        <v>43</v>
      </c>
      <c r="E685" s="25" t="s">
        <v>716</v>
      </c>
    </row>
    <row r="686" spans="1:5">
      <c r="A686" t="s">
        <v>152</v>
      </c>
      <c r="B686" t="s">
        <v>152</v>
      </c>
      <c r="C686" t="s">
        <v>637</v>
      </c>
      <c r="D686" s="24" t="s">
        <v>43</v>
      </c>
      <c r="E686" s="25" t="s">
        <v>717</v>
      </c>
    </row>
    <row r="687" spans="1:5">
      <c r="A687" t="s">
        <v>152</v>
      </c>
      <c r="B687" t="s">
        <v>152</v>
      </c>
      <c r="C687" t="s">
        <v>637</v>
      </c>
      <c r="D687" s="24" t="s">
        <v>43</v>
      </c>
      <c r="E687" s="25" t="s">
        <v>718</v>
      </c>
    </row>
    <row r="688" spans="1:5">
      <c r="A688" t="s">
        <v>152</v>
      </c>
      <c r="B688" t="s">
        <v>152</v>
      </c>
      <c r="C688" t="s">
        <v>637</v>
      </c>
      <c r="D688" s="24" t="s">
        <v>43</v>
      </c>
      <c r="E688" s="25" t="s">
        <v>719</v>
      </c>
    </row>
    <row r="689" spans="1:5">
      <c r="A689" t="s">
        <v>152</v>
      </c>
      <c r="B689" t="s">
        <v>152</v>
      </c>
      <c r="C689" t="s">
        <v>637</v>
      </c>
      <c r="D689" s="24" t="s">
        <v>43</v>
      </c>
      <c r="E689" s="25" t="s">
        <v>720</v>
      </c>
    </row>
    <row r="690" spans="1:5">
      <c r="A690" t="s">
        <v>152</v>
      </c>
      <c r="B690" t="s">
        <v>152</v>
      </c>
      <c r="C690" t="s">
        <v>637</v>
      </c>
      <c r="D690" s="24" t="s">
        <v>43</v>
      </c>
      <c r="E690" s="25" t="s">
        <v>721</v>
      </c>
    </row>
    <row r="691" spans="1:5">
      <c r="A691" t="s">
        <v>152</v>
      </c>
      <c r="B691" t="s">
        <v>152</v>
      </c>
      <c r="C691" t="s">
        <v>637</v>
      </c>
      <c r="D691" s="24" t="s">
        <v>43</v>
      </c>
      <c r="E691" s="25" t="s">
        <v>722</v>
      </c>
    </row>
    <row r="692" spans="1:5" ht="17">
      <c r="E692" s="22" t="s">
        <v>723</v>
      </c>
    </row>
    <row r="693" spans="1:5">
      <c r="E693" s="23" t="s">
        <v>724</v>
      </c>
    </row>
    <row r="694" spans="1:5">
      <c r="A694" t="s">
        <v>160</v>
      </c>
      <c r="B694" t="s">
        <v>161</v>
      </c>
      <c r="C694" t="s">
        <v>637</v>
      </c>
      <c r="D694" s="24" t="s">
        <v>43</v>
      </c>
      <c r="E694" s="25" t="s">
        <v>725</v>
      </c>
    </row>
    <row r="695" spans="1:5">
      <c r="A695" t="s">
        <v>160</v>
      </c>
      <c r="B695" t="s">
        <v>161</v>
      </c>
      <c r="C695" t="s">
        <v>637</v>
      </c>
      <c r="D695" s="24" t="s">
        <v>43</v>
      </c>
      <c r="E695" s="25" t="s">
        <v>726</v>
      </c>
    </row>
    <row r="696" spans="1:5">
      <c r="A696" t="s">
        <v>160</v>
      </c>
      <c r="B696" t="s">
        <v>161</v>
      </c>
      <c r="C696" t="s">
        <v>637</v>
      </c>
      <c r="D696" s="24" t="s">
        <v>43</v>
      </c>
      <c r="E696" s="25" t="s">
        <v>727</v>
      </c>
    </row>
    <row r="697" spans="1:5">
      <c r="A697" t="s">
        <v>160</v>
      </c>
      <c r="B697" t="s">
        <v>161</v>
      </c>
      <c r="C697" t="s">
        <v>637</v>
      </c>
      <c r="D697" s="24" t="s">
        <v>43</v>
      </c>
      <c r="E697" s="25" t="s">
        <v>728</v>
      </c>
    </row>
    <row r="698" spans="1:5">
      <c r="A698" t="s">
        <v>160</v>
      </c>
      <c r="B698" t="s">
        <v>161</v>
      </c>
      <c r="C698" t="s">
        <v>637</v>
      </c>
      <c r="D698" s="24" t="s">
        <v>43</v>
      </c>
      <c r="E698" s="25" t="s">
        <v>729</v>
      </c>
    </row>
    <row r="699" spans="1:5">
      <c r="A699" t="s">
        <v>160</v>
      </c>
      <c r="B699" t="s">
        <v>161</v>
      </c>
      <c r="C699" t="s">
        <v>637</v>
      </c>
      <c r="D699" s="24" t="s">
        <v>43</v>
      </c>
      <c r="E699" s="25" t="s">
        <v>730</v>
      </c>
    </row>
    <row r="700" spans="1:5">
      <c r="A700" t="s">
        <v>160</v>
      </c>
      <c r="B700" t="s">
        <v>161</v>
      </c>
      <c r="C700" t="s">
        <v>637</v>
      </c>
      <c r="D700" s="24" t="s">
        <v>43</v>
      </c>
      <c r="E700" s="25" t="s">
        <v>731</v>
      </c>
    </row>
    <row r="701" spans="1:5">
      <c r="A701" t="s">
        <v>160</v>
      </c>
      <c r="B701" t="s">
        <v>161</v>
      </c>
      <c r="C701" t="s">
        <v>637</v>
      </c>
      <c r="D701" s="24" t="s">
        <v>43</v>
      </c>
      <c r="E701" s="25" t="s">
        <v>732</v>
      </c>
    </row>
    <row r="702" spans="1:5">
      <c r="A702" t="s">
        <v>160</v>
      </c>
      <c r="B702" t="s">
        <v>161</v>
      </c>
      <c r="C702" t="s">
        <v>637</v>
      </c>
      <c r="D702" s="24" t="s">
        <v>43</v>
      </c>
      <c r="E702" s="25" t="s">
        <v>733</v>
      </c>
    </row>
    <row r="703" spans="1:5">
      <c r="A703" t="s">
        <v>160</v>
      </c>
      <c r="B703" t="s">
        <v>161</v>
      </c>
      <c r="C703" t="s">
        <v>637</v>
      </c>
      <c r="D703" s="24" t="s">
        <v>43</v>
      </c>
      <c r="E703" s="25" t="s">
        <v>734</v>
      </c>
    </row>
    <row r="704" spans="1:5">
      <c r="E704" s="23" t="s">
        <v>735</v>
      </c>
    </row>
    <row r="705" spans="1:5">
      <c r="A705" t="s">
        <v>160</v>
      </c>
      <c r="B705" t="s">
        <v>165</v>
      </c>
      <c r="C705" t="s">
        <v>637</v>
      </c>
      <c r="D705" s="24" t="s">
        <v>43</v>
      </c>
      <c r="E705" s="25" t="s">
        <v>736</v>
      </c>
    </row>
    <row r="706" spans="1:5">
      <c r="A706" t="s">
        <v>160</v>
      </c>
      <c r="B706" t="s">
        <v>165</v>
      </c>
      <c r="C706" t="s">
        <v>637</v>
      </c>
      <c r="D706" s="24" t="s">
        <v>43</v>
      </c>
      <c r="E706" s="25" t="s">
        <v>737</v>
      </c>
    </row>
    <row r="707" spans="1:5">
      <c r="A707" t="s">
        <v>160</v>
      </c>
      <c r="B707" t="s">
        <v>165</v>
      </c>
      <c r="C707" t="s">
        <v>637</v>
      </c>
      <c r="D707" s="24" t="s">
        <v>43</v>
      </c>
      <c r="E707" s="25" t="s">
        <v>738</v>
      </c>
    </row>
    <row r="708" spans="1:5">
      <c r="A708" t="s">
        <v>160</v>
      </c>
      <c r="B708" t="s">
        <v>165</v>
      </c>
      <c r="C708" t="s">
        <v>637</v>
      </c>
      <c r="D708" s="24" t="s">
        <v>43</v>
      </c>
      <c r="E708" s="25" t="s">
        <v>739</v>
      </c>
    </row>
    <row r="709" spans="1:5">
      <c r="A709" t="s">
        <v>160</v>
      </c>
      <c r="B709" t="s">
        <v>165</v>
      </c>
      <c r="C709" t="s">
        <v>637</v>
      </c>
      <c r="D709" s="24" t="s">
        <v>43</v>
      </c>
      <c r="E709" s="25" t="s">
        <v>740</v>
      </c>
    </row>
    <row r="710" spans="1:5">
      <c r="A710" t="s">
        <v>160</v>
      </c>
      <c r="B710" t="s">
        <v>165</v>
      </c>
      <c r="C710" t="s">
        <v>637</v>
      </c>
      <c r="D710" s="24" t="s">
        <v>43</v>
      </c>
      <c r="E710" s="25" t="s">
        <v>741</v>
      </c>
    </row>
    <row r="711" spans="1:5">
      <c r="A711" t="s">
        <v>160</v>
      </c>
      <c r="B711" t="s">
        <v>165</v>
      </c>
      <c r="C711" t="s">
        <v>637</v>
      </c>
      <c r="D711" s="24" t="s">
        <v>43</v>
      </c>
      <c r="E711" s="25" t="s">
        <v>742</v>
      </c>
    </row>
    <row r="712" spans="1:5">
      <c r="A712" t="s">
        <v>160</v>
      </c>
      <c r="B712" t="s">
        <v>165</v>
      </c>
      <c r="C712" t="s">
        <v>637</v>
      </c>
      <c r="D712" s="24" t="s">
        <v>43</v>
      </c>
      <c r="E712" s="25" t="s">
        <v>743</v>
      </c>
    </row>
    <row r="713" spans="1:5">
      <c r="A713" t="s">
        <v>160</v>
      </c>
      <c r="B713" t="s">
        <v>165</v>
      </c>
      <c r="C713" t="s">
        <v>637</v>
      </c>
      <c r="D713" s="24" t="s">
        <v>43</v>
      </c>
      <c r="E713" s="25" t="s">
        <v>744</v>
      </c>
    </row>
    <row r="714" spans="1:5" ht="19.5">
      <c r="E714" s="21" t="s">
        <v>745</v>
      </c>
    </row>
    <row r="715" spans="1:5" ht="17">
      <c r="E715" s="22" t="s">
        <v>200</v>
      </c>
    </row>
    <row r="716" spans="1:5" ht="17">
      <c r="E716" s="27" t="s">
        <v>746</v>
      </c>
    </row>
    <row r="717" spans="1:5">
      <c r="A717" t="s">
        <v>67</v>
      </c>
      <c r="B717" t="s">
        <v>67</v>
      </c>
      <c r="C717" t="s">
        <v>747</v>
      </c>
      <c r="D717" s="24" t="s">
        <v>43</v>
      </c>
      <c r="E717" s="25" t="s">
        <v>748</v>
      </c>
    </row>
    <row r="718" spans="1:5">
      <c r="E718" s="27" t="s">
        <v>749</v>
      </c>
    </row>
    <row r="719" spans="1:5">
      <c r="A719" t="s">
        <v>81</v>
      </c>
      <c r="B719" t="s">
        <v>81</v>
      </c>
      <c r="C719" t="s">
        <v>747</v>
      </c>
      <c r="D719" s="24" t="s">
        <v>43</v>
      </c>
      <c r="E719" s="25" t="s">
        <v>750</v>
      </c>
    </row>
    <row r="720" spans="1:5">
      <c r="A720" t="s">
        <v>81</v>
      </c>
      <c r="B720" t="s">
        <v>81</v>
      </c>
      <c r="C720" t="s">
        <v>747</v>
      </c>
      <c r="D720" s="24" t="s">
        <v>43</v>
      </c>
      <c r="E720" s="25" t="s">
        <v>751</v>
      </c>
    </row>
    <row r="721" spans="1:5">
      <c r="A721" t="s">
        <v>81</v>
      </c>
      <c r="B721" t="s">
        <v>81</v>
      </c>
      <c r="C721" t="s">
        <v>747</v>
      </c>
      <c r="D721" s="24" t="s">
        <v>43</v>
      </c>
      <c r="E721" s="25" t="s">
        <v>752</v>
      </c>
    </row>
    <row r="722" spans="1:5">
      <c r="A722" t="s">
        <v>81</v>
      </c>
      <c r="B722" t="s">
        <v>81</v>
      </c>
      <c r="C722" t="s">
        <v>747</v>
      </c>
      <c r="D722" s="24" t="s">
        <v>43</v>
      </c>
      <c r="E722" s="25" t="s">
        <v>753</v>
      </c>
    </row>
    <row r="723" spans="1:5" ht="17">
      <c r="E723" s="22" t="s">
        <v>222</v>
      </c>
    </row>
    <row r="724" spans="1:5">
      <c r="A724" t="s">
        <v>91</v>
      </c>
      <c r="B724" t="s">
        <v>91</v>
      </c>
      <c r="C724" t="s">
        <v>747</v>
      </c>
      <c r="D724" s="24" t="s">
        <v>43</v>
      </c>
      <c r="E724" s="30" t="s">
        <v>754</v>
      </c>
    </row>
    <row r="725" spans="1:5">
      <c r="E725" s="29" t="s">
        <v>755</v>
      </c>
    </row>
    <row r="726" spans="1:5">
      <c r="A726" t="s">
        <v>91</v>
      </c>
      <c r="B726" t="s">
        <v>91</v>
      </c>
      <c r="C726" t="s">
        <v>747</v>
      </c>
      <c r="D726" s="24" t="s">
        <v>43</v>
      </c>
      <c r="E726" s="30" t="s">
        <v>756</v>
      </c>
    </row>
    <row r="727" spans="1:5">
      <c r="E727" s="30" t="s">
        <v>757</v>
      </c>
    </row>
    <row r="728" spans="1:5">
      <c r="A728" t="s">
        <v>91</v>
      </c>
      <c r="B728" t="s">
        <v>91</v>
      </c>
      <c r="C728" t="s">
        <v>747</v>
      </c>
      <c r="D728" s="24" t="s">
        <v>43</v>
      </c>
      <c r="E728" s="30" t="s">
        <v>758</v>
      </c>
    </row>
    <row r="729" spans="1:5">
      <c r="E729" s="30" t="s">
        <v>759</v>
      </c>
    </row>
    <row r="730" spans="1:5">
      <c r="A730" t="s">
        <v>91</v>
      </c>
      <c r="B730" t="s">
        <v>91</v>
      </c>
      <c r="C730" t="s">
        <v>747</v>
      </c>
      <c r="D730" s="24" t="s">
        <v>43</v>
      </c>
      <c r="E730" s="30" t="s">
        <v>760</v>
      </c>
    </row>
    <row r="731" spans="1:5">
      <c r="E731" s="29" t="s">
        <v>755</v>
      </c>
    </row>
    <row r="732" spans="1:5">
      <c r="A732" t="s">
        <v>91</v>
      </c>
      <c r="B732" t="s">
        <v>91</v>
      </c>
      <c r="C732" t="s">
        <v>747</v>
      </c>
      <c r="D732" s="24" t="s">
        <v>43</v>
      </c>
      <c r="E732" s="30" t="s">
        <v>761</v>
      </c>
    </row>
    <row r="733" spans="1:5">
      <c r="A733" t="s">
        <v>91</v>
      </c>
      <c r="B733" t="s">
        <v>91</v>
      </c>
      <c r="C733" t="s">
        <v>747</v>
      </c>
      <c r="D733" s="24" t="s">
        <v>43</v>
      </c>
      <c r="E733" s="25" t="s">
        <v>762</v>
      </c>
    </row>
    <row r="734" spans="1:5" ht="17">
      <c r="E734" s="22" t="s">
        <v>94</v>
      </c>
    </row>
    <row r="735" spans="1:5">
      <c r="E735" s="23" t="s">
        <v>763</v>
      </c>
    </row>
    <row r="736" spans="1:5">
      <c r="A736" t="s">
        <v>96</v>
      </c>
      <c r="B736" t="s">
        <v>414</v>
      </c>
      <c r="C736" t="s">
        <v>747</v>
      </c>
      <c r="D736" s="24" t="s">
        <v>43</v>
      </c>
      <c r="E736" s="25" t="s">
        <v>764</v>
      </c>
    </row>
    <row r="737" spans="1:5">
      <c r="A737" t="s">
        <v>96</v>
      </c>
      <c r="B737" t="s">
        <v>414</v>
      </c>
      <c r="C737" t="s">
        <v>747</v>
      </c>
      <c r="D737" s="24" t="s">
        <v>43</v>
      </c>
      <c r="E737" s="25" t="s">
        <v>765</v>
      </c>
    </row>
    <row r="738" spans="1:5">
      <c r="A738" t="s">
        <v>96</v>
      </c>
      <c r="B738" t="s">
        <v>414</v>
      </c>
      <c r="C738" t="s">
        <v>747</v>
      </c>
      <c r="D738" s="24" t="s">
        <v>43</v>
      </c>
      <c r="E738" s="25" t="s">
        <v>766</v>
      </c>
    </row>
    <row r="739" spans="1:5">
      <c r="A739" t="s">
        <v>96</v>
      </c>
      <c r="B739" t="s">
        <v>414</v>
      </c>
      <c r="C739" t="s">
        <v>747</v>
      </c>
      <c r="D739" s="24" t="s">
        <v>43</v>
      </c>
      <c r="E739" s="25" t="s">
        <v>767</v>
      </c>
    </row>
    <row r="740" spans="1:5">
      <c r="A740" t="s">
        <v>96</v>
      </c>
      <c r="B740" t="s">
        <v>414</v>
      </c>
      <c r="C740" t="s">
        <v>747</v>
      </c>
      <c r="D740" s="24" t="s">
        <v>43</v>
      </c>
      <c r="E740" s="25" t="s">
        <v>768</v>
      </c>
    </row>
    <row r="741" spans="1:5">
      <c r="E741" s="23" t="s">
        <v>769</v>
      </c>
    </row>
    <row r="742" spans="1:5">
      <c r="A742" t="s">
        <v>96</v>
      </c>
      <c r="B742" t="s">
        <v>97</v>
      </c>
      <c r="C742" t="s">
        <v>747</v>
      </c>
      <c r="D742" s="24" t="s">
        <v>43</v>
      </c>
      <c r="E742" s="25" t="s">
        <v>770</v>
      </c>
    </row>
    <row r="743" spans="1:5" ht="17">
      <c r="E743" s="22" t="s">
        <v>771</v>
      </c>
    </row>
    <row r="744" spans="1:5">
      <c r="A744" t="s">
        <v>105</v>
      </c>
      <c r="B744" t="s">
        <v>105</v>
      </c>
      <c r="C744" t="s">
        <v>747</v>
      </c>
      <c r="D744" s="24" t="s">
        <v>43</v>
      </c>
      <c r="E744" s="25" t="s">
        <v>772</v>
      </c>
    </row>
    <row r="745" spans="1:5">
      <c r="A745" t="s">
        <v>105</v>
      </c>
      <c r="B745" t="s">
        <v>105</v>
      </c>
      <c r="C745" t="s">
        <v>747</v>
      </c>
      <c r="D745" s="24" t="s">
        <v>43</v>
      </c>
      <c r="E745" s="25" t="s">
        <v>773</v>
      </c>
    </row>
    <row r="746" spans="1:5">
      <c r="A746" t="s">
        <v>105</v>
      </c>
      <c r="B746" t="s">
        <v>105</v>
      </c>
      <c r="C746" t="s">
        <v>747</v>
      </c>
      <c r="D746" s="24" t="s">
        <v>43</v>
      </c>
      <c r="E746" s="25" t="s">
        <v>774</v>
      </c>
    </row>
    <row r="747" spans="1:5">
      <c r="A747" t="s">
        <v>105</v>
      </c>
      <c r="B747" t="s">
        <v>105</v>
      </c>
      <c r="C747" t="s">
        <v>747</v>
      </c>
      <c r="D747" s="24" t="s">
        <v>43</v>
      </c>
      <c r="E747" s="25" t="s">
        <v>775</v>
      </c>
    </row>
    <row r="748" spans="1:5">
      <c r="A748" t="s">
        <v>105</v>
      </c>
      <c r="B748" t="s">
        <v>105</v>
      </c>
      <c r="C748" t="s">
        <v>747</v>
      </c>
      <c r="D748" s="24" t="s">
        <v>43</v>
      </c>
      <c r="E748" s="25" t="s">
        <v>776</v>
      </c>
    </row>
    <row r="749" spans="1:5">
      <c r="A749" t="s">
        <v>105</v>
      </c>
      <c r="B749" t="s">
        <v>105</v>
      </c>
      <c r="C749" t="s">
        <v>747</v>
      </c>
      <c r="D749" s="24" t="s">
        <v>43</v>
      </c>
      <c r="E749" s="25" t="s">
        <v>777</v>
      </c>
    </row>
    <row r="750" spans="1:5">
      <c r="A750" t="s">
        <v>105</v>
      </c>
      <c r="B750" t="s">
        <v>105</v>
      </c>
      <c r="C750" t="s">
        <v>747</v>
      </c>
      <c r="D750" s="24" t="s">
        <v>43</v>
      </c>
      <c r="E750" s="25" t="s">
        <v>778</v>
      </c>
    </row>
    <row r="751" spans="1:5">
      <c r="A751" t="s">
        <v>105</v>
      </c>
      <c r="B751" t="s">
        <v>105</v>
      </c>
      <c r="C751" t="s">
        <v>747</v>
      </c>
      <c r="D751" s="24" t="s">
        <v>43</v>
      </c>
      <c r="E751" s="25" t="s">
        <v>779</v>
      </c>
    </row>
    <row r="752" spans="1:5">
      <c r="A752" t="s">
        <v>105</v>
      </c>
      <c r="B752" t="s">
        <v>105</v>
      </c>
      <c r="C752" t="s">
        <v>747</v>
      </c>
      <c r="D752" s="24" t="s">
        <v>43</v>
      </c>
      <c r="E752" s="25" t="s">
        <v>780</v>
      </c>
    </row>
    <row r="753" spans="1:5">
      <c r="A753" t="s">
        <v>105</v>
      </c>
      <c r="B753" t="s">
        <v>105</v>
      </c>
      <c r="C753" t="s">
        <v>747</v>
      </c>
      <c r="D753" s="24" t="s">
        <v>43</v>
      </c>
      <c r="E753" s="25" t="s">
        <v>781</v>
      </c>
    </row>
    <row r="754" spans="1:5" ht="17">
      <c r="E754" s="22" t="s">
        <v>782</v>
      </c>
    </row>
    <row r="755" spans="1:5">
      <c r="E755" s="23" t="s">
        <v>783</v>
      </c>
    </row>
    <row r="756" spans="1:5">
      <c r="A756" t="s">
        <v>109</v>
      </c>
      <c r="B756" t="s">
        <v>110</v>
      </c>
      <c r="C756" t="s">
        <v>747</v>
      </c>
      <c r="D756" s="24" t="s">
        <v>43</v>
      </c>
      <c r="E756" s="25" t="s">
        <v>784</v>
      </c>
    </row>
    <row r="757" spans="1:5">
      <c r="A757" t="s">
        <v>109</v>
      </c>
      <c r="B757" t="s">
        <v>110</v>
      </c>
      <c r="C757" t="s">
        <v>747</v>
      </c>
      <c r="D757" s="24" t="s">
        <v>43</v>
      </c>
      <c r="E757" s="25" t="s">
        <v>785</v>
      </c>
    </row>
    <row r="758" spans="1:5">
      <c r="A758" t="s">
        <v>109</v>
      </c>
      <c r="B758" t="s">
        <v>110</v>
      </c>
      <c r="C758" t="s">
        <v>747</v>
      </c>
      <c r="D758" s="24" t="s">
        <v>43</v>
      </c>
      <c r="E758" s="25" t="s">
        <v>786</v>
      </c>
    </row>
    <row r="759" spans="1:5">
      <c r="A759" t="s">
        <v>109</v>
      </c>
      <c r="B759" t="s">
        <v>110</v>
      </c>
      <c r="C759" t="s">
        <v>747</v>
      </c>
      <c r="D759" s="24" t="s">
        <v>43</v>
      </c>
      <c r="E759" s="25" t="s">
        <v>787</v>
      </c>
    </row>
    <row r="760" spans="1:5">
      <c r="A760" t="s">
        <v>109</v>
      </c>
      <c r="B760" t="s">
        <v>110</v>
      </c>
      <c r="C760" t="s">
        <v>747</v>
      </c>
      <c r="D760" s="24" t="s">
        <v>43</v>
      </c>
      <c r="E760" s="25" t="s">
        <v>788</v>
      </c>
    </row>
    <row r="761" spans="1:5">
      <c r="A761" t="s">
        <v>109</v>
      </c>
      <c r="B761" t="s">
        <v>110</v>
      </c>
      <c r="C761" t="s">
        <v>747</v>
      </c>
      <c r="D761" s="24" t="s">
        <v>43</v>
      </c>
      <c r="E761" s="25" t="s">
        <v>789</v>
      </c>
    </row>
    <row r="762" spans="1:5">
      <c r="A762" t="s">
        <v>109</v>
      </c>
      <c r="B762" t="s">
        <v>110</v>
      </c>
      <c r="C762" t="s">
        <v>747</v>
      </c>
      <c r="D762" s="24" t="s">
        <v>43</v>
      </c>
      <c r="E762" s="25" t="s">
        <v>790</v>
      </c>
    </row>
    <row r="763" spans="1:5">
      <c r="A763" t="s">
        <v>109</v>
      </c>
      <c r="B763" t="s">
        <v>110</v>
      </c>
      <c r="C763" t="s">
        <v>747</v>
      </c>
      <c r="D763" s="24" t="s">
        <v>43</v>
      </c>
      <c r="E763" s="25" t="s">
        <v>791</v>
      </c>
    </row>
    <row r="764" spans="1:5">
      <c r="A764" t="s">
        <v>109</v>
      </c>
      <c r="B764" t="s">
        <v>110</v>
      </c>
      <c r="C764" t="s">
        <v>747</v>
      </c>
      <c r="D764" s="24" t="s">
        <v>43</v>
      </c>
      <c r="E764" s="25" t="s">
        <v>792</v>
      </c>
    </row>
    <row r="765" spans="1:5">
      <c r="A765" t="s">
        <v>109</v>
      </c>
      <c r="B765" t="s">
        <v>110</v>
      </c>
      <c r="C765" t="s">
        <v>747</v>
      </c>
      <c r="D765" s="24" t="s">
        <v>43</v>
      </c>
      <c r="E765" s="25" t="s">
        <v>793</v>
      </c>
    </row>
    <row r="766" spans="1:5">
      <c r="A766" t="s">
        <v>109</v>
      </c>
      <c r="B766" t="s">
        <v>110</v>
      </c>
      <c r="C766" t="s">
        <v>747</v>
      </c>
      <c r="D766" s="24" t="s">
        <v>43</v>
      </c>
      <c r="E766" s="25" t="s">
        <v>794</v>
      </c>
    </row>
    <row r="767" spans="1:5">
      <c r="A767" t="s">
        <v>109</v>
      </c>
      <c r="B767" t="s">
        <v>110</v>
      </c>
      <c r="C767" t="s">
        <v>747</v>
      </c>
      <c r="D767" s="24" t="s">
        <v>43</v>
      </c>
      <c r="E767" s="25" t="s">
        <v>795</v>
      </c>
    </row>
    <row r="768" spans="1:5">
      <c r="A768" t="s">
        <v>109</v>
      </c>
      <c r="B768" t="s">
        <v>110</v>
      </c>
      <c r="C768" t="s">
        <v>747</v>
      </c>
      <c r="D768" s="24" t="s">
        <v>43</v>
      </c>
      <c r="E768" s="25" t="s">
        <v>796</v>
      </c>
    </row>
    <row r="769" spans="1:5">
      <c r="A769" t="s">
        <v>109</v>
      </c>
      <c r="B769" t="s">
        <v>110</v>
      </c>
      <c r="C769" t="s">
        <v>747</v>
      </c>
      <c r="D769" s="24" t="s">
        <v>43</v>
      </c>
      <c r="E769" s="25" t="s">
        <v>797</v>
      </c>
    </row>
    <row r="770" spans="1:5">
      <c r="A770" t="s">
        <v>109</v>
      </c>
      <c r="B770" t="s">
        <v>110</v>
      </c>
      <c r="C770" t="s">
        <v>747</v>
      </c>
      <c r="D770" s="24" t="s">
        <v>43</v>
      </c>
      <c r="E770" s="25" t="s">
        <v>798</v>
      </c>
    </row>
    <row r="771" spans="1:5">
      <c r="A771" t="s">
        <v>109</v>
      </c>
      <c r="B771" t="s">
        <v>110</v>
      </c>
      <c r="C771" t="s">
        <v>747</v>
      </c>
      <c r="D771" s="24" t="s">
        <v>43</v>
      </c>
      <c r="E771" s="25" t="s">
        <v>799</v>
      </c>
    </row>
    <row r="772" spans="1:5">
      <c r="A772" t="s">
        <v>109</v>
      </c>
      <c r="B772" t="s">
        <v>110</v>
      </c>
      <c r="C772" t="s">
        <v>747</v>
      </c>
      <c r="D772" s="24" t="s">
        <v>43</v>
      </c>
      <c r="E772" s="25" t="s">
        <v>800</v>
      </c>
    </row>
    <row r="773" spans="1:5">
      <c r="A773" t="s">
        <v>109</v>
      </c>
      <c r="B773" t="s">
        <v>110</v>
      </c>
      <c r="C773" t="s">
        <v>747</v>
      </c>
      <c r="D773" s="24" t="s">
        <v>43</v>
      </c>
      <c r="E773" s="25" t="s">
        <v>801</v>
      </c>
    </row>
    <row r="774" spans="1:5">
      <c r="A774" t="s">
        <v>109</v>
      </c>
      <c r="B774" t="s">
        <v>110</v>
      </c>
      <c r="C774" t="s">
        <v>747</v>
      </c>
      <c r="D774" s="24" t="s">
        <v>43</v>
      </c>
      <c r="E774" s="25" t="s">
        <v>802</v>
      </c>
    </row>
    <row r="775" spans="1:5">
      <c r="E775" s="23" t="s">
        <v>803</v>
      </c>
    </row>
    <row r="776" spans="1:5">
      <c r="A776" t="s">
        <v>109</v>
      </c>
      <c r="B776" t="s">
        <v>118</v>
      </c>
      <c r="C776" t="s">
        <v>747</v>
      </c>
      <c r="D776" s="24" t="s">
        <v>43</v>
      </c>
      <c r="E776" s="25" t="s">
        <v>804</v>
      </c>
    </row>
    <row r="777" spans="1:5">
      <c r="A777" t="s">
        <v>109</v>
      </c>
      <c r="B777" t="s">
        <v>118</v>
      </c>
      <c r="C777" t="s">
        <v>747</v>
      </c>
      <c r="D777" s="24" t="s">
        <v>43</v>
      </c>
      <c r="E777" s="25" t="s">
        <v>805</v>
      </c>
    </row>
    <row r="778" spans="1:5">
      <c r="A778" t="s">
        <v>109</v>
      </c>
      <c r="B778" t="s">
        <v>118</v>
      </c>
      <c r="C778" t="s">
        <v>747</v>
      </c>
      <c r="D778" s="24" t="s">
        <v>43</v>
      </c>
      <c r="E778" s="25" t="s">
        <v>806</v>
      </c>
    </row>
    <row r="779" spans="1:5">
      <c r="A779" t="s">
        <v>109</v>
      </c>
      <c r="B779" t="s">
        <v>118</v>
      </c>
      <c r="C779" t="s">
        <v>747</v>
      </c>
      <c r="D779" s="24" t="s">
        <v>43</v>
      </c>
      <c r="E779" s="25" t="s">
        <v>807</v>
      </c>
    </row>
    <row r="780" spans="1:5">
      <c r="A780" t="s">
        <v>109</v>
      </c>
      <c r="B780" t="s">
        <v>118</v>
      </c>
      <c r="C780" t="s">
        <v>747</v>
      </c>
      <c r="D780" s="24" t="s">
        <v>43</v>
      </c>
      <c r="E780" s="25" t="s">
        <v>808</v>
      </c>
    </row>
    <row r="781" spans="1:5">
      <c r="A781" t="s">
        <v>109</v>
      </c>
      <c r="B781" t="s">
        <v>118</v>
      </c>
      <c r="C781" t="s">
        <v>747</v>
      </c>
      <c r="D781" s="24" t="s">
        <v>43</v>
      </c>
      <c r="E781" s="25" t="s">
        <v>809</v>
      </c>
    </row>
    <row r="782" spans="1:5">
      <c r="A782" t="s">
        <v>109</v>
      </c>
      <c r="B782" t="s">
        <v>118</v>
      </c>
      <c r="C782" t="s">
        <v>747</v>
      </c>
      <c r="D782" s="24" t="s">
        <v>43</v>
      </c>
      <c r="E782" s="25" t="s">
        <v>810</v>
      </c>
    </row>
    <row r="783" spans="1:5">
      <c r="A783" t="s">
        <v>109</v>
      </c>
      <c r="B783" t="s">
        <v>118</v>
      </c>
      <c r="C783" t="s">
        <v>747</v>
      </c>
      <c r="D783" s="24" t="s">
        <v>43</v>
      </c>
      <c r="E783" s="25" t="s">
        <v>811</v>
      </c>
    </row>
    <row r="784" spans="1:5">
      <c r="A784" t="s">
        <v>109</v>
      </c>
      <c r="B784" t="s">
        <v>118</v>
      </c>
      <c r="C784" t="s">
        <v>747</v>
      </c>
      <c r="D784" s="24" t="s">
        <v>43</v>
      </c>
      <c r="E784" s="25" t="s">
        <v>812</v>
      </c>
    </row>
    <row r="785" spans="1:5">
      <c r="A785" t="s">
        <v>109</v>
      </c>
      <c r="B785" t="s">
        <v>118</v>
      </c>
      <c r="C785" t="s">
        <v>747</v>
      </c>
      <c r="D785" s="24" t="s">
        <v>43</v>
      </c>
      <c r="E785" s="25" t="s">
        <v>813</v>
      </c>
    </row>
    <row r="786" spans="1:5">
      <c r="A786" t="s">
        <v>109</v>
      </c>
      <c r="B786" t="s">
        <v>118</v>
      </c>
      <c r="C786" t="s">
        <v>747</v>
      </c>
      <c r="D786" s="24" t="s">
        <v>43</v>
      </c>
      <c r="E786" s="25" t="s">
        <v>814</v>
      </c>
    </row>
    <row r="787" spans="1:5">
      <c r="E787" s="23" t="s">
        <v>815</v>
      </c>
    </row>
    <row r="788" spans="1:5">
      <c r="A788" t="s">
        <v>109</v>
      </c>
      <c r="B788" s="8" t="s">
        <v>124</v>
      </c>
      <c r="C788" t="s">
        <v>747</v>
      </c>
      <c r="D788" s="24" t="s">
        <v>43</v>
      </c>
      <c r="E788" s="25" t="s">
        <v>816</v>
      </c>
    </row>
    <row r="789" spans="1:5">
      <c r="A789" t="s">
        <v>109</v>
      </c>
      <c r="B789" s="8" t="s">
        <v>124</v>
      </c>
      <c r="C789" t="s">
        <v>747</v>
      </c>
      <c r="D789" s="24" t="s">
        <v>43</v>
      </c>
      <c r="E789" s="25" t="s">
        <v>817</v>
      </c>
    </row>
    <row r="790" spans="1:5">
      <c r="A790" t="s">
        <v>109</v>
      </c>
      <c r="B790" s="8" t="s">
        <v>124</v>
      </c>
      <c r="C790" t="s">
        <v>747</v>
      </c>
      <c r="D790" s="24" t="s">
        <v>43</v>
      </c>
      <c r="E790" s="25" t="s">
        <v>818</v>
      </c>
    </row>
    <row r="791" spans="1:5">
      <c r="A791" t="s">
        <v>109</v>
      </c>
      <c r="B791" s="8" t="s">
        <v>124</v>
      </c>
      <c r="C791" t="s">
        <v>747</v>
      </c>
      <c r="D791" s="24" t="s">
        <v>43</v>
      </c>
      <c r="E791" s="25" t="s">
        <v>819</v>
      </c>
    </row>
    <row r="792" spans="1:5">
      <c r="A792" t="s">
        <v>109</v>
      </c>
      <c r="B792" s="8" t="s">
        <v>124</v>
      </c>
      <c r="C792" t="s">
        <v>747</v>
      </c>
      <c r="D792" s="24" t="s">
        <v>43</v>
      </c>
      <c r="E792" s="25" t="s">
        <v>820</v>
      </c>
    </row>
    <row r="793" spans="1:5">
      <c r="A793" t="s">
        <v>109</v>
      </c>
      <c r="B793" s="8" t="s">
        <v>124</v>
      </c>
      <c r="C793" t="s">
        <v>747</v>
      </c>
      <c r="D793" s="24" t="s">
        <v>43</v>
      </c>
      <c r="E793" s="25" t="s">
        <v>821</v>
      </c>
    </row>
    <row r="794" spans="1:5">
      <c r="A794" t="s">
        <v>109</v>
      </c>
      <c r="B794" s="8" t="s">
        <v>124</v>
      </c>
      <c r="C794" t="s">
        <v>747</v>
      </c>
      <c r="D794" s="24" t="s">
        <v>43</v>
      </c>
      <c r="E794" s="25" t="s">
        <v>822</v>
      </c>
    </row>
    <row r="795" spans="1:5">
      <c r="A795" t="s">
        <v>109</v>
      </c>
      <c r="B795" s="8" t="s">
        <v>124</v>
      </c>
      <c r="C795" t="s">
        <v>747</v>
      </c>
      <c r="D795" s="24" t="s">
        <v>43</v>
      </c>
      <c r="E795" s="25" t="s">
        <v>823</v>
      </c>
    </row>
    <row r="796" spans="1:5" ht="17">
      <c r="E796" s="22" t="s">
        <v>824</v>
      </c>
    </row>
    <row r="797" spans="1:5" ht="17">
      <c r="E797" s="23" t="s">
        <v>825</v>
      </c>
    </row>
    <row r="798" spans="1:5">
      <c r="A798" t="s">
        <v>134</v>
      </c>
      <c r="B798" t="s">
        <v>135</v>
      </c>
      <c r="C798" t="s">
        <v>747</v>
      </c>
      <c r="D798" s="24" t="s">
        <v>43</v>
      </c>
      <c r="E798" s="25" t="s">
        <v>826</v>
      </c>
    </row>
    <row r="799" spans="1:5">
      <c r="A799" t="s">
        <v>134</v>
      </c>
      <c r="B799" t="s">
        <v>135</v>
      </c>
      <c r="C799" t="s">
        <v>747</v>
      </c>
      <c r="D799" s="24" t="s">
        <v>43</v>
      </c>
      <c r="E799" s="25" t="s">
        <v>827</v>
      </c>
    </row>
    <row r="800" spans="1:5">
      <c r="A800" t="s">
        <v>134</v>
      </c>
      <c r="B800" t="s">
        <v>135</v>
      </c>
      <c r="C800" t="s">
        <v>747</v>
      </c>
      <c r="D800" s="24" t="s">
        <v>43</v>
      </c>
      <c r="E800" s="25" t="s">
        <v>828</v>
      </c>
    </row>
    <row r="801" spans="1:5">
      <c r="A801" t="s">
        <v>134</v>
      </c>
      <c r="B801" t="s">
        <v>135</v>
      </c>
      <c r="C801" t="s">
        <v>747</v>
      </c>
      <c r="D801" s="24" t="s">
        <v>43</v>
      </c>
      <c r="E801" s="25" t="s">
        <v>829</v>
      </c>
    </row>
    <row r="802" spans="1:5">
      <c r="A802" t="s">
        <v>134</v>
      </c>
      <c r="B802" t="s">
        <v>135</v>
      </c>
      <c r="C802" t="s">
        <v>747</v>
      </c>
      <c r="D802" s="24" t="s">
        <v>43</v>
      </c>
      <c r="E802" s="25" t="s">
        <v>830</v>
      </c>
    </row>
    <row r="803" spans="1:5" ht="17">
      <c r="E803" s="23" t="s">
        <v>831</v>
      </c>
    </row>
    <row r="804" spans="1:5">
      <c r="A804" t="s">
        <v>134</v>
      </c>
      <c r="B804" t="s">
        <v>144</v>
      </c>
      <c r="C804" t="s">
        <v>747</v>
      </c>
      <c r="D804" s="24" t="s">
        <v>43</v>
      </c>
      <c r="E804" s="25" t="s">
        <v>832</v>
      </c>
    </row>
    <row r="805" spans="1:5">
      <c r="A805" t="s">
        <v>134</v>
      </c>
      <c r="B805" t="s">
        <v>144</v>
      </c>
      <c r="C805" t="s">
        <v>747</v>
      </c>
      <c r="D805" s="24" t="s">
        <v>43</v>
      </c>
      <c r="E805" s="25" t="s">
        <v>833</v>
      </c>
    </row>
    <row r="806" spans="1:5">
      <c r="A806" t="s">
        <v>134</v>
      </c>
      <c r="B806" t="s">
        <v>144</v>
      </c>
      <c r="C806" t="s">
        <v>747</v>
      </c>
      <c r="D806" s="24" t="s">
        <v>43</v>
      </c>
      <c r="E806" s="25" t="s">
        <v>834</v>
      </c>
    </row>
    <row r="807" spans="1:5">
      <c r="A807" t="s">
        <v>134</v>
      </c>
      <c r="B807" t="s">
        <v>144</v>
      </c>
      <c r="C807" t="s">
        <v>747</v>
      </c>
      <c r="D807" s="24" t="s">
        <v>43</v>
      </c>
      <c r="E807" s="25" t="s">
        <v>835</v>
      </c>
    </row>
    <row r="808" spans="1:5">
      <c r="A808" t="s">
        <v>134</v>
      </c>
      <c r="B808" t="s">
        <v>144</v>
      </c>
      <c r="C808" t="s">
        <v>747</v>
      </c>
      <c r="D808" s="24" t="s">
        <v>43</v>
      </c>
      <c r="E808" s="25" t="s">
        <v>836</v>
      </c>
    </row>
    <row r="809" spans="1:5" ht="17">
      <c r="E809" s="23" t="s">
        <v>837</v>
      </c>
    </row>
    <row r="810" spans="1:5">
      <c r="A810" t="s">
        <v>134</v>
      </c>
      <c r="B810" t="s">
        <v>294</v>
      </c>
      <c r="C810" t="s">
        <v>747</v>
      </c>
      <c r="D810" s="24" t="s">
        <v>43</v>
      </c>
      <c r="E810" s="25" t="s">
        <v>838</v>
      </c>
    </row>
    <row r="811" spans="1:5">
      <c r="A811" t="s">
        <v>134</v>
      </c>
      <c r="B811" t="s">
        <v>294</v>
      </c>
      <c r="C811" t="s">
        <v>747</v>
      </c>
      <c r="D811" s="24" t="s">
        <v>43</v>
      </c>
      <c r="E811" s="25" t="s">
        <v>839</v>
      </c>
    </row>
    <row r="812" spans="1:5">
      <c r="A812" t="s">
        <v>134</v>
      </c>
      <c r="B812" t="s">
        <v>294</v>
      </c>
      <c r="C812" t="s">
        <v>747</v>
      </c>
      <c r="D812" s="24" t="s">
        <v>43</v>
      </c>
      <c r="E812" s="25" t="s">
        <v>840</v>
      </c>
    </row>
    <row r="813" spans="1:5" ht="17">
      <c r="E813" s="23" t="s">
        <v>458</v>
      </c>
    </row>
    <row r="814" spans="1:5">
      <c r="A814" t="s">
        <v>134</v>
      </c>
      <c r="B814" t="s">
        <v>149</v>
      </c>
      <c r="C814" t="s">
        <v>747</v>
      </c>
      <c r="D814" s="24" t="s">
        <v>43</v>
      </c>
      <c r="E814" s="25" t="s">
        <v>841</v>
      </c>
    </row>
    <row r="815" spans="1:5">
      <c r="A815" t="s">
        <v>134</v>
      </c>
      <c r="B815" t="s">
        <v>149</v>
      </c>
      <c r="C815" t="s">
        <v>747</v>
      </c>
      <c r="D815" s="24" t="s">
        <v>43</v>
      </c>
      <c r="E815" s="25" t="s">
        <v>842</v>
      </c>
    </row>
    <row r="816" spans="1:5">
      <c r="A816" t="s">
        <v>134</v>
      </c>
      <c r="B816" t="s">
        <v>149</v>
      </c>
      <c r="C816" t="s">
        <v>747</v>
      </c>
      <c r="D816" s="24" t="s">
        <v>43</v>
      </c>
      <c r="E816" s="25" t="s">
        <v>843</v>
      </c>
    </row>
    <row r="817" spans="1:5" ht="17">
      <c r="E817" s="22" t="s">
        <v>844</v>
      </c>
    </row>
    <row r="818" spans="1:5">
      <c r="A818" t="s">
        <v>152</v>
      </c>
      <c r="B818" t="s">
        <v>152</v>
      </c>
      <c r="C818" t="s">
        <v>747</v>
      </c>
      <c r="D818" s="24" t="s">
        <v>43</v>
      </c>
      <c r="E818" s="25" t="s">
        <v>845</v>
      </c>
    </row>
    <row r="819" spans="1:5">
      <c r="A819" t="s">
        <v>152</v>
      </c>
      <c r="B819" t="s">
        <v>152</v>
      </c>
      <c r="C819" t="s">
        <v>747</v>
      </c>
      <c r="D819" s="24" t="s">
        <v>43</v>
      </c>
      <c r="E819" s="25" t="s">
        <v>846</v>
      </c>
    </row>
    <row r="820" spans="1:5">
      <c r="A820" t="s">
        <v>152</v>
      </c>
      <c r="B820" t="s">
        <v>152</v>
      </c>
      <c r="C820" t="s">
        <v>747</v>
      </c>
      <c r="D820" s="24" t="s">
        <v>43</v>
      </c>
      <c r="E820" s="25" t="s">
        <v>847</v>
      </c>
    </row>
    <row r="821" spans="1:5" ht="17">
      <c r="E821" s="22" t="s">
        <v>723</v>
      </c>
    </row>
    <row r="822" spans="1:5">
      <c r="E822" s="23" t="s">
        <v>620</v>
      </c>
    </row>
    <row r="823" spans="1:5">
      <c r="A823" t="s">
        <v>160</v>
      </c>
      <c r="B823" t="s">
        <v>161</v>
      </c>
      <c r="C823" t="s">
        <v>747</v>
      </c>
      <c r="D823" s="24" t="s">
        <v>43</v>
      </c>
      <c r="E823" s="25" t="s">
        <v>848</v>
      </c>
    </row>
    <row r="824" spans="1:5">
      <c r="A824" t="s">
        <v>160</v>
      </c>
      <c r="B824" t="s">
        <v>161</v>
      </c>
      <c r="C824" t="s">
        <v>747</v>
      </c>
      <c r="D824" s="24" t="s">
        <v>43</v>
      </c>
      <c r="E824" s="25" t="s">
        <v>849</v>
      </c>
    </row>
    <row r="825" spans="1:5">
      <c r="A825" t="s">
        <v>160</v>
      </c>
      <c r="B825" t="s">
        <v>161</v>
      </c>
      <c r="C825" t="s">
        <v>747</v>
      </c>
      <c r="D825" s="24" t="s">
        <v>43</v>
      </c>
      <c r="E825" s="25" t="s">
        <v>850</v>
      </c>
    </row>
    <row r="826" spans="1:5">
      <c r="A826" t="s">
        <v>160</v>
      </c>
      <c r="B826" t="s">
        <v>161</v>
      </c>
      <c r="C826" t="s">
        <v>747</v>
      </c>
      <c r="D826" s="24" t="s">
        <v>43</v>
      </c>
      <c r="E826" s="25" t="s">
        <v>851</v>
      </c>
    </row>
    <row r="827" spans="1:5">
      <c r="A827" t="s">
        <v>160</v>
      </c>
      <c r="B827" t="s">
        <v>161</v>
      </c>
      <c r="C827" t="s">
        <v>747</v>
      </c>
      <c r="D827" s="24" t="s">
        <v>43</v>
      </c>
      <c r="E827" s="25" t="s">
        <v>852</v>
      </c>
    </row>
    <row r="828" spans="1:5">
      <c r="A828" t="s">
        <v>160</v>
      </c>
      <c r="B828" t="s">
        <v>161</v>
      </c>
      <c r="C828" t="s">
        <v>747</v>
      </c>
      <c r="D828" s="24" t="s">
        <v>43</v>
      </c>
      <c r="E828" s="25" t="s">
        <v>853</v>
      </c>
    </row>
    <row r="829" spans="1:5">
      <c r="A829" t="s">
        <v>160</v>
      </c>
      <c r="B829" t="s">
        <v>161</v>
      </c>
      <c r="C829" t="s">
        <v>747</v>
      </c>
      <c r="D829" s="24" t="s">
        <v>43</v>
      </c>
      <c r="E829" s="25" t="s">
        <v>854</v>
      </c>
    </row>
    <row r="830" spans="1:5">
      <c r="A830" t="s">
        <v>160</v>
      </c>
      <c r="B830" t="s">
        <v>161</v>
      </c>
      <c r="C830" t="s">
        <v>747</v>
      </c>
      <c r="D830" s="24" t="s">
        <v>43</v>
      </c>
      <c r="E830" s="25" t="s">
        <v>855</v>
      </c>
    </row>
    <row r="831" spans="1:5">
      <c r="E831" s="23" t="s">
        <v>856</v>
      </c>
    </row>
    <row r="832" spans="1:5">
      <c r="A832" t="s">
        <v>160</v>
      </c>
      <c r="B832" t="s">
        <v>165</v>
      </c>
      <c r="C832" t="s">
        <v>747</v>
      </c>
      <c r="D832" s="24" t="s">
        <v>43</v>
      </c>
      <c r="E832" s="25" t="s">
        <v>857</v>
      </c>
    </row>
    <row r="833" spans="1:5">
      <c r="A833" t="s">
        <v>160</v>
      </c>
      <c r="B833" t="s">
        <v>165</v>
      </c>
      <c r="C833" t="s">
        <v>747</v>
      </c>
      <c r="D833" s="24" t="s">
        <v>43</v>
      </c>
      <c r="E833" s="25" t="s">
        <v>858</v>
      </c>
    </row>
    <row r="834" spans="1:5">
      <c r="A834" t="s">
        <v>160</v>
      </c>
      <c r="B834" t="s">
        <v>165</v>
      </c>
      <c r="C834" t="s">
        <v>747</v>
      </c>
      <c r="D834" s="24" t="s">
        <v>43</v>
      </c>
      <c r="E834" s="25" t="s">
        <v>859</v>
      </c>
    </row>
    <row r="835" spans="1:5">
      <c r="A835" t="s">
        <v>160</v>
      </c>
      <c r="B835" t="s">
        <v>165</v>
      </c>
      <c r="C835" t="s">
        <v>747</v>
      </c>
      <c r="D835" s="24" t="s">
        <v>43</v>
      </c>
      <c r="E835" s="25" t="s">
        <v>860</v>
      </c>
    </row>
    <row r="836" spans="1:5">
      <c r="A836" t="s">
        <v>160</v>
      </c>
      <c r="B836" t="s">
        <v>165</v>
      </c>
      <c r="C836" t="s">
        <v>747</v>
      </c>
      <c r="D836" s="24" t="s">
        <v>43</v>
      </c>
      <c r="E836" s="25" t="s">
        <v>861</v>
      </c>
    </row>
    <row r="837" spans="1:5">
      <c r="A837" t="s">
        <v>160</v>
      </c>
      <c r="B837" t="s">
        <v>165</v>
      </c>
      <c r="C837" t="s">
        <v>747</v>
      </c>
      <c r="D837" s="24" t="s">
        <v>43</v>
      </c>
      <c r="E837" s="25" t="s">
        <v>862</v>
      </c>
    </row>
    <row r="838" spans="1:5">
      <c r="A838" t="s">
        <v>160</v>
      </c>
      <c r="B838" t="s">
        <v>165</v>
      </c>
      <c r="C838" t="s">
        <v>747</v>
      </c>
      <c r="D838" s="24" t="s">
        <v>43</v>
      </c>
      <c r="E838" s="25" t="s">
        <v>863</v>
      </c>
    </row>
    <row r="839" spans="1:5">
      <c r="A839" t="s">
        <v>160</v>
      </c>
      <c r="B839" t="s">
        <v>165</v>
      </c>
      <c r="C839" t="s">
        <v>747</v>
      </c>
      <c r="D839" s="24" t="s">
        <v>43</v>
      </c>
      <c r="E839" s="25" t="s">
        <v>864</v>
      </c>
    </row>
    <row r="840" spans="1:5">
      <c r="A840" t="s">
        <v>160</v>
      </c>
      <c r="B840" t="s">
        <v>165</v>
      </c>
      <c r="C840" t="s">
        <v>747</v>
      </c>
      <c r="D840" s="24" t="s">
        <v>43</v>
      </c>
      <c r="E840" s="25" t="s">
        <v>865</v>
      </c>
    </row>
    <row r="841" spans="1:5">
      <c r="A841" t="s">
        <v>160</v>
      </c>
      <c r="B841" t="s">
        <v>165</v>
      </c>
      <c r="C841" t="s">
        <v>747</v>
      </c>
      <c r="D841" s="24" t="s">
        <v>43</v>
      </c>
      <c r="E841" s="25" t="s">
        <v>866</v>
      </c>
    </row>
    <row r="842" spans="1:5">
      <c r="A842" t="s">
        <v>160</v>
      </c>
      <c r="B842" t="s">
        <v>165</v>
      </c>
      <c r="C842" t="s">
        <v>747</v>
      </c>
      <c r="D842" s="24" t="s">
        <v>43</v>
      </c>
      <c r="E842" s="25" t="s">
        <v>867</v>
      </c>
    </row>
    <row r="843" spans="1:5" ht="19.5">
      <c r="E843" s="21" t="s">
        <v>868</v>
      </c>
    </row>
    <row r="844" spans="1:5" ht="17">
      <c r="E844" s="22" t="s">
        <v>200</v>
      </c>
    </row>
    <row r="845" spans="1:5">
      <c r="E845" s="27" t="s">
        <v>869</v>
      </c>
    </row>
    <row r="846" spans="1:5">
      <c r="A846" t="s">
        <v>67</v>
      </c>
      <c r="B846" t="s">
        <v>67</v>
      </c>
      <c r="C846" t="s">
        <v>870</v>
      </c>
      <c r="D846" s="24" t="s">
        <v>43</v>
      </c>
      <c r="E846" s="25" t="s">
        <v>871</v>
      </c>
    </row>
    <row r="847" spans="1:5">
      <c r="E847" s="27" t="s">
        <v>872</v>
      </c>
    </row>
    <row r="848" spans="1:5">
      <c r="A848" t="s">
        <v>81</v>
      </c>
      <c r="B848" t="s">
        <v>81</v>
      </c>
      <c r="C848" t="s">
        <v>870</v>
      </c>
      <c r="D848" s="24" t="s">
        <v>43</v>
      </c>
      <c r="E848" s="25" t="s">
        <v>873</v>
      </c>
    </row>
    <row r="849" spans="1:5">
      <c r="A849" t="s">
        <v>81</v>
      </c>
      <c r="B849" t="s">
        <v>81</v>
      </c>
      <c r="C849" t="s">
        <v>870</v>
      </c>
      <c r="D849" s="24" t="s">
        <v>43</v>
      </c>
      <c r="E849" s="25" t="s">
        <v>874</v>
      </c>
    </row>
    <row r="850" spans="1:5" ht="17">
      <c r="E850" s="22" t="s">
        <v>222</v>
      </c>
    </row>
    <row r="851" spans="1:5">
      <c r="A851" t="s">
        <v>91</v>
      </c>
      <c r="B851" t="s">
        <v>91</v>
      </c>
      <c r="C851" t="s">
        <v>870</v>
      </c>
      <c r="D851" s="24" t="s">
        <v>43</v>
      </c>
      <c r="E851" s="30" t="s">
        <v>875</v>
      </c>
    </row>
    <row r="852" spans="1:5">
      <c r="A852" t="s">
        <v>91</v>
      </c>
      <c r="B852" t="s">
        <v>91</v>
      </c>
      <c r="C852" t="s">
        <v>870</v>
      </c>
      <c r="D852" s="24" t="s">
        <v>43</v>
      </c>
      <c r="E852" s="25" t="s">
        <v>876</v>
      </c>
    </row>
    <row r="853" spans="1:5">
      <c r="A853" t="s">
        <v>91</v>
      </c>
      <c r="B853" t="s">
        <v>91</v>
      </c>
      <c r="C853" t="s">
        <v>870</v>
      </c>
      <c r="D853" s="24" t="s">
        <v>43</v>
      </c>
      <c r="E853" s="25" t="s">
        <v>877</v>
      </c>
    </row>
    <row r="854" spans="1:5">
      <c r="A854" t="s">
        <v>91</v>
      </c>
      <c r="B854" t="s">
        <v>91</v>
      </c>
      <c r="C854" t="s">
        <v>870</v>
      </c>
      <c r="D854" s="24" t="s">
        <v>43</v>
      </c>
      <c r="E854" s="25" t="s">
        <v>878</v>
      </c>
    </row>
    <row r="855" spans="1:5">
      <c r="A855" t="s">
        <v>91</v>
      </c>
      <c r="B855" t="s">
        <v>91</v>
      </c>
      <c r="C855" t="s">
        <v>870</v>
      </c>
      <c r="D855" s="24" t="s">
        <v>43</v>
      </c>
      <c r="E855" s="25" t="s">
        <v>879</v>
      </c>
    </row>
    <row r="856" spans="1:5">
      <c r="A856" t="s">
        <v>91</v>
      </c>
      <c r="B856" t="s">
        <v>91</v>
      </c>
      <c r="C856" t="s">
        <v>870</v>
      </c>
      <c r="D856" s="24" t="s">
        <v>43</v>
      </c>
      <c r="E856" s="25" t="s">
        <v>880</v>
      </c>
    </row>
    <row r="857" spans="1:5" ht="17">
      <c r="E857" s="22" t="s">
        <v>881</v>
      </c>
    </row>
    <row r="858" spans="1:5">
      <c r="A858" t="s">
        <v>105</v>
      </c>
      <c r="B858" t="s">
        <v>105</v>
      </c>
      <c r="C858" t="s">
        <v>870</v>
      </c>
      <c r="D858" s="24" t="s">
        <v>43</v>
      </c>
      <c r="E858" s="25" t="s">
        <v>882</v>
      </c>
    </row>
    <row r="859" spans="1:5">
      <c r="A859" t="s">
        <v>105</v>
      </c>
      <c r="B859" t="s">
        <v>105</v>
      </c>
      <c r="C859" t="s">
        <v>870</v>
      </c>
      <c r="D859" s="24" t="s">
        <v>43</v>
      </c>
      <c r="E859" s="25" t="s">
        <v>883</v>
      </c>
    </row>
    <row r="860" spans="1:5">
      <c r="A860" t="s">
        <v>105</v>
      </c>
      <c r="B860" t="s">
        <v>105</v>
      </c>
      <c r="C860" t="s">
        <v>870</v>
      </c>
      <c r="D860" s="24" t="s">
        <v>43</v>
      </c>
      <c r="E860" s="25" t="s">
        <v>884</v>
      </c>
    </row>
    <row r="861" spans="1:5">
      <c r="A861" t="s">
        <v>105</v>
      </c>
      <c r="B861" t="s">
        <v>105</v>
      </c>
      <c r="C861" t="s">
        <v>870</v>
      </c>
      <c r="D861" s="24" t="s">
        <v>43</v>
      </c>
      <c r="E861" s="25" t="s">
        <v>885</v>
      </c>
    </row>
    <row r="862" spans="1:5">
      <c r="A862" t="s">
        <v>105</v>
      </c>
      <c r="B862" t="s">
        <v>105</v>
      </c>
      <c r="C862" t="s">
        <v>870</v>
      </c>
      <c r="D862" s="24" t="s">
        <v>43</v>
      </c>
      <c r="E862" s="25" t="s">
        <v>886</v>
      </c>
    </row>
    <row r="863" spans="1:5">
      <c r="A863" t="s">
        <v>105</v>
      </c>
      <c r="B863" t="s">
        <v>105</v>
      </c>
      <c r="C863" t="s">
        <v>870</v>
      </c>
      <c r="D863" s="24" t="s">
        <v>43</v>
      </c>
      <c r="E863" s="25" t="s">
        <v>887</v>
      </c>
    </row>
    <row r="864" spans="1:5">
      <c r="A864" t="s">
        <v>105</v>
      </c>
      <c r="B864" t="s">
        <v>105</v>
      </c>
      <c r="C864" t="s">
        <v>870</v>
      </c>
      <c r="D864" s="24" t="s">
        <v>43</v>
      </c>
      <c r="E864" s="25" t="s">
        <v>888</v>
      </c>
    </row>
    <row r="865" spans="1:5">
      <c r="A865" t="s">
        <v>105</v>
      </c>
      <c r="B865" t="s">
        <v>105</v>
      </c>
      <c r="C865" t="s">
        <v>870</v>
      </c>
      <c r="D865" s="24" t="s">
        <v>43</v>
      </c>
      <c r="E865" s="25" t="s">
        <v>889</v>
      </c>
    </row>
    <row r="866" spans="1:5">
      <c r="A866" t="s">
        <v>105</v>
      </c>
      <c r="B866" t="s">
        <v>105</v>
      </c>
      <c r="C866" t="s">
        <v>870</v>
      </c>
      <c r="D866" s="24" t="s">
        <v>43</v>
      </c>
      <c r="E866" s="25" t="s">
        <v>890</v>
      </c>
    </row>
    <row r="867" spans="1:5" ht="17">
      <c r="E867" s="22" t="s">
        <v>418</v>
      </c>
    </row>
    <row r="868" spans="1:5">
      <c r="E868" s="23" t="s">
        <v>891</v>
      </c>
    </row>
    <row r="869" spans="1:5">
      <c r="A869" t="s">
        <v>109</v>
      </c>
      <c r="B869" t="s">
        <v>110</v>
      </c>
      <c r="C869" t="s">
        <v>870</v>
      </c>
      <c r="D869" s="24" t="s">
        <v>43</v>
      </c>
      <c r="E869" s="25" t="s">
        <v>892</v>
      </c>
    </row>
    <row r="870" spans="1:5">
      <c r="A870" t="s">
        <v>109</v>
      </c>
      <c r="B870" t="s">
        <v>110</v>
      </c>
      <c r="C870" t="s">
        <v>870</v>
      </c>
      <c r="D870" s="24" t="s">
        <v>43</v>
      </c>
      <c r="E870" s="25" t="s">
        <v>893</v>
      </c>
    </row>
    <row r="871" spans="1:5">
      <c r="A871" t="s">
        <v>109</v>
      </c>
      <c r="B871" t="s">
        <v>110</v>
      </c>
      <c r="C871" t="s">
        <v>870</v>
      </c>
      <c r="D871" s="24" t="s">
        <v>43</v>
      </c>
      <c r="E871" s="25" t="s">
        <v>894</v>
      </c>
    </row>
    <row r="872" spans="1:5">
      <c r="A872" t="s">
        <v>109</v>
      </c>
      <c r="B872" t="s">
        <v>110</v>
      </c>
      <c r="C872" t="s">
        <v>870</v>
      </c>
      <c r="D872" s="24" t="s">
        <v>43</v>
      </c>
      <c r="E872" s="25" t="s">
        <v>895</v>
      </c>
    </row>
    <row r="873" spans="1:5">
      <c r="A873" t="s">
        <v>109</v>
      </c>
      <c r="B873" t="s">
        <v>110</v>
      </c>
      <c r="C873" t="s">
        <v>870</v>
      </c>
      <c r="D873" s="24" t="s">
        <v>43</v>
      </c>
      <c r="E873" s="25" t="s">
        <v>896</v>
      </c>
    </row>
    <row r="874" spans="1:5">
      <c r="A874" t="s">
        <v>109</v>
      </c>
      <c r="B874" t="s">
        <v>110</v>
      </c>
      <c r="C874" t="s">
        <v>870</v>
      </c>
      <c r="D874" s="24" t="s">
        <v>43</v>
      </c>
      <c r="E874" s="25" t="s">
        <v>897</v>
      </c>
    </row>
    <row r="875" spans="1:5">
      <c r="E875" s="23" t="s">
        <v>898</v>
      </c>
    </row>
    <row r="876" spans="1:5">
      <c r="A876" t="s">
        <v>109</v>
      </c>
      <c r="B876" t="s">
        <v>118</v>
      </c>
      <c r="C876" t="s">
        <v>870</v>
      </c>
      <c r="D876" s="24" t="s">
        <v>43</v>
      </c>
      <c r="E876" s="25" t="s">
        <v>899</v>
      </c>
    </row>
    <row r="877" spans="1:5">
      <c r="A877" t="s">
        <v>109</v>
      </c>
      <c r="B877" t="s">
        <v>118</v>
      </c>
      <c r="C877" t="s">
        <v>870</v>
      </c>
      <c r="D877" s="24" t="s">
        <v>43</v>
      </c>
      <c r="E877" s="25" t="s">
        <v>900</v>
      </c>
    </row>
    <row r="878" spans="1:5">
      <c r="A878" t="s">
        <v>109</v>
      </c>
      <c r="B878" t="s">
        <v>118</v>
      </c>
      <c r="C878" t="s">
        <v>870</v>
      </c>
      <c r="D878" s="24" t="s">
        <v>43</v>
      </c>
      <c r="E878" s="25" t="s">
        <v>901</v>
      </c>
    </row>
    <row r="879" spans="1:5">
      <c r="A879" t="s">
        <v>109</v>
      </c>
      <c r="B879" t="s">
        <v>118</v>
      </c>
      <c r="C879" t="s">
        <v>870</v>
      </c>
      <c r="D879" s="24" t="s">
        <v>43</v>
      </c>
      <c r="E879" s="25" t="s">
        <v>902</v>
      </c>
    </row>
    <row r="880" spans="1:5">
      <c r="A880" t="s">
        <v>109</v>
      </c>
      <c r="B880" t="s">
        <v>118</v>
      </c>
      <c r="C880" t="s">
        <v>870</v>
      </c>
      <c r="D880" s="24" t="s">
        <v>43</v>
      </c>
      <c r="E880" s="25" t="s">
        <v>903</v>
      </c>
    </row>
    <row r="881" spans="1:5">
      <c r="E881" s="23" t="s">
        <v>432</v>
      </c>
    </row>
    <row r="882" spans="1:5">
      <c r="A882" t="s">
        <v>109</v>
      </c>
      <c r="B882" s="8" t="s">
        <v>124</v>
      </c>
      <c r="C882" t="s">
        <v>870</v>
      </c>
      <c r="D882" s="24" t="s">
        <v>43</v>
      </c>
      <c r="E882" s="25" t="s">
        <v>904</v>
      </c>
    </row>
    <row r="883" spans="1:5">
      <c r="A883" t="s">
        <v>109</v>
      </c>
      <c r="B883" s="8" t="s">
        <v>124</v>
      </c>
      <c r="C883" t="s">
        <v>870</v>
      </c>
      <c r="D883" s="24" t="s">
        <v>43</v>
      </c>
      <c r="E883" s="25" t="s">
        <v>905</v>
      </c>
    </row>
    <row r="884" spans="1:5">
      <c r="A884" t="s">
        <v>109</v>
      </c>
      <c r="B884" s="8" t="s">
        <v>124</v>
      </c>
      <c r="C884" t="s">
        <v>870</v>
      </c>
      <c r="D884" s="24" t="s">
        <v>43</v>
      </c>
      <c r="E884" s="25" t="s">
        <v>906</v>
      </c>
    </row>
    <row r="885" spans="1:5">
      <c r="A885" t="s">
        <v>109</v>
      </c>
      <c r="B885" s="8" t="s">
        <v>124</v>
      </c>
      <c r="C885" t="s">
        <v>870</v>
      </c>
      <c r="D885" s="24" t="s">
        <v>43</v>
      </c>
      <c r="E885" s="25" t="s">
        <v>907</v>
      </c>
    </row>
    <row r="886" spans="1:5" ht="17">
      <c r="E886" s="22" t="s">
        <v>908</v>
      </c>
    </row>
    <row r="887" spans="1:5">
      <c r="E887" s="23" t="s">
        <v>909</v>
      </c>
    </row>
    <row r="888" spans="1:5">
      <c r="A888" t="s">
        <v>134</v>
      </c>
      <c r="B888" t="s">
        <v>135</v>
      </c>
      <c r="C888" t="s">
        <v>870</v>
      </c>
      <c r="D888" s="24" t="s">
        <v>43</v>
      </c>
      <c r="E888" s="25" t="s">
        <v>910</v>
      </c>
    </row>
    <row r="889" spans="1:5">
      <c r="A889" t="s">
        <v>134</v>
      </c>
      <c r="B889" t="s">
        <v>135</v>
      </c>
      <c r="C889" t="s">
        <v>870</v>
      </c>
      <c r="D889" s="24" t="s">
        <v>43</v>
      </c>
      <c r="E889" s="25" t="s">
        <v>911</v>
      </c>
    </row>
    <row r="890" spans="1:5">
      <c r="E890" s="23" t="s">
        <v>912</v>
      </c>
    </row>
    <row r="891" spans="1:5">
      <c r="A891" t="s">
        <v>134</v>
      </c>
      <c r="B891" t="s">
        <v>144</v>
      </c>
      <c r="C891" t="s">
        <v>870</v>
      </c>
      <c r="D891" s="24" t="s">
        <v>43</v>
      </c>
      <c r="E891" s="25" t="s">
        <v>913</v>
      </c>
    </row>
    <row r="892" spans="1:5">
      <c r="A892" t="s">
        <v>134</v>
      </c>
      <c r="B892" t="s">
        <v>144</v>
      </c>
      <c r="C892" t="s">
        <v>870</v>
      </c>
      <c r="D892" s="24" t="s">
        <v>43</v>
      </c>
      <c r="E892" s="25" t="s">
        <v>914</v>
      </c>
    </row>
    <row r="893" spans="1:5">
      <c r="A893" t="s">
        <v>134</v>
      </c>
      <c r="B893" t="s">
        <v>144</v>
      </c>
      <c r="C893" t="s">
        <v>870</v>
      </c>
      <c r="D893" s="24" t="s">
        <v>43</v>
      </c>
      <c r="E893" s="25" t="s">
        <v>915</v>
      </c>
    </row>
    <row r="894" spans="1:5">
      <c r="E894" s="23" t="s">
        <v>602</v>
      </c>
    </row>
    <row r="895" spans="1:5">
      <c r="A895" t="s">
        <v>134</v>
      </c>
      <c r="B895" t="s">
        <v>294</v>
      </c>
      <c r="C895" t="s">
        <v>870</v>
      </c>
      <c r="D895" s="24" t="s">
        <v>43</v>
      </c>
      <c r="E895" s="25" t="s">
        <v>916</v>
      </c>
    </row>
    <row r="896" spans="1:5">
      <c r="A896" t="s">
        <v>134</v>
      </c>
      <c r="B896" t="s">
        <v>294</v>
      </c>
      <c r="C896" t="s">
        <v>870</v>
      </c>
      <c r="D896" s="24" t="s">
        <v>43</v>
      </c>
      <c r="E896" s="25" t="s">
        <v>917</v>
      </c>
    </row>
    <row r="897" spans="1:5">
      <c r="A897" t="s">
        <v>134</v>
      </c>
      <c r="B897" t="s">
        <v>294</v>
      </c>
      <c r="C897" t="s">
        <v>870</v>
      </c>
      <c r="D897" s="24" t="s">
        <v>43</v>
      </c>
      <c r="E897" s="25" t="s">
        <v>918</v>
      </c>
    </row>
    <row r="898" spans="1:5">
      <c r="A898" t="s">
        <v>134</v>
      </c>
      <c r="B898" t="s">
        <v>294</v>
      </c>
      <c r="C898" t="s">
        <v>870</v>
      </c>
      <c r="D898" s="24" t="s">
        <v>43</v>
      </c>
      <c r="E898" s="25" t="s">
        <v>919</v>
      </c>
    </row>
    <row r="899" spans="1:5">
      <c r="A899" t="s">
        <v>134</v>
      </c>
      <c r="B899" t="s">
        <v>294</v>
      </c>
      <c r="C899" t="s">
        <v>870</v>
      </c>
      <c r="D899" s="24" t="s">
        <v>43</v>
      </c>
      <c r="E899" s="25" t="s">
        <v>920</v>
      </c>
    </row>
    <row r="900" spans="1:5">
      <c r="E900" s="23" t="s">
        <v>711</v>
      </c>
    </row>
    <row r="901" spans="1:5">
      <c r="A901" t="s">
        <v>134</v>
      </c>
      <c r="B901" t="s">
        <v>149</v>
      </c>
      <c r="C901" t="s">
        <v>870</v>
      </c>
      <c r="D901" s="24" t="s">
        <v>43</v>
      </c>
      <c r="E901" s="25" t="s">
        <v>921</v>
      </c>
    </row>
    <row r="902" spans="1:5">
      <c r="A902" t="s">
        <v>134</v>
      </c>
      <c r="B902" t="s">
        <v>149</v>
      </c>
      <c r="C902" t="s">
        <v>870</v>
      </c>
      <c r="D902" s="24" t="s">
        <v>43</v>
      </c>
      <c r="E902" s="25" t="s">
        <v>922</v>
      </c>
    </row>
    <row r="903" spans="1:5" ht="17">
      <c r="E903" s="22" t="s">
        <v>923</v>
      </c>
    </row>
    <row r="904" spans="1:5">
      <c r="E904" s="23" t="s">
        <v>924</v>
      </c>
    </row>
    <row r="905" spans="1:5">
      <c r="A905" t="s">
        <v>160</v>
      </c>
      <c r="B905" t="s">
        <v>161</v>
      </c>
      <c r="C905" t="s">
        <v>870</v>
      </c>
      <c r="D905" s="24" t="s">
        <v>43</v>
      </c>
      <c r="E905" s="25" t="s">
        <v>925</v>
      </c>
    </row>
    <row r="906" spans="1:5">
      <c r="A906" t="s">
        <v>160</v>
      </c>
      <c r="B906" t="s">
        <v>161</v>
      </c>
      <c r="C906" t="s">
        <v>870</v>
      </c>
      <c r="D906" s="24" t="s">
        <v>43</v>
      </c>
      <c r="E906" s="25" t="s">
        <v>926</v>
      </c>
    </row>
    <row r="907" spans="1:5">
      <c r="A907" t="s">
        <v>160</v>
      </c>
      <c r="B907" t="s">
        <v>161</v>
      </c>
      <c r="C907" t="s">
        <v>870</v>
      </c>
      <c r="D907" s="24" t="s">
        <v>43</v>
      </c>
      <c r="E907" s="25" t="s">
        <v>927</v>
      </c>
    </row>
    <row r="908" spans="1:5">
      <c r="A908" t="s">
        <v>160</v>
      </c>
      <c r="B908" t="s">
        <v>161</v>
      </c>
      <c r="C908" t="s">
        <v>870</v>
      </c>
      <c r="D908" s="24" t="s">
        <v>43</v>
      </c>
      <c r="E908" s="25" t="s">
        <v>928</v>
      </c>
    </row>
    <row r="909" spans="1:5">
      <c r="A909" t="s">
        <v>160</v>
      </c>
      <c r="B909" t="s">
        <v>161</v>
      </c>
      <c r="C909" t="s">
        <v>870</v>
      </c>
      <c r="D909" s="24" t="s">
        <v>43</v>
      </c>
      <c r="E909" s="25" t="s">
        <v>929</v>
      </c>
    </row>
    <row r="910" spans="1:5">
      <c r="E910" s="23" t="s">
        <v>930</v>
      </c>
    </row>
    <row r="911" spans="1:5">
      <c r="A911" t="s">
        <v>160</v>
      </c>
      <c r="B911" t="s">
        <v>165</v>
      </c>
      <c r="C911" t="s">
        <v>870</v>
      </c>
      <c r="D911" s="24" t="s">
        <v>43</v>
      </c>
      <c r="E911" s="25" t="s">
        <v>931</v>
      </c>
    </row>
    <row r="912" spans="1:5">
      <c r="A912" t="s">
        <v>160</v>
      </c>
      <c r="B912" t="s">
        <v>165</v>
      </c>
      <c r="C912" t="s">
        <v>870</v>
      </c>
      <c r="D912" s="24" t="s">
        <v>43</v>
      </c>
      <c r="E912" s="25" t="s">
        <v>932</v>
      </c>
    </row>
    <row r="913" spans="1:5">
      <c r="A913" t="s">
        <v>160</v>
      </c>
      <c r="B913" t="s">
        <v>165</v>
      </c>
      <c r="C913" t="s">
        <v>870</v>
      </c>
      <c r="D913" s="24" t="s">
        <v>43</v>
      </c>
      <c r="E913" s="25" t="s">
        <v>933</v>
      </c>
    </row>
    <row r="914" spans="1:5">
      <c r="A914" t="s">
        <v>160</v>
      </c>
      <c r="B914" t="s">
        <v>165</v>
      </c>
      <c r="C914" t="s">
        <v>870</v>
      </c>
      <c r="D914" s="24" t="s">
        <v>43</v>
      </c>
      <c r="E914" s="25" t="s">
        <v>934</v>
      </c>
    </row>
    <row r="915" spans="1:5">
      <c r="A915" t="s">
        <v>160</v>
      </c>
      <c r="B915" t="s">
        <v>165</v>
      </c>
      <c r="C915" t="s">
        <v>870</v>
      </c>
      <c r="D915" s="24" t="s">
        <v>43</v>
      </c>
      <c r="E915" s="25" t="s">
        <v>935</v>
      </c>
    </row>
    <row r="916" spans="1:5" ht="19.5">
      <c r="E916" s="21" t="s">
        <v>936</v>
      </c>
    </row>
    <row r="917" spans="1:5" ht="17">
      <c r="E917" s="22" t="s">
        <v>200</v>
      </c>
    </row>
    <row r="918" spans="1:5">
      <c r="E918" s="27" t="s">
        <v>937</v>
      </c>
    </row>
    <row r="919" spans="1:5">
      <c r="A919" t="s">
        <v>67</v>
      </c>
      <c r="B919" t="s">
        <v>67</v>
      </c>
      <c r="C919" t="s">
        <v>938</v>
      </c>
      <c r="D919" s="24" t="s">
        <v>43</v>
      </c>
      <c r="E919" s="25" t="s">
        <v>939</v>
      </c>
    </row>
    <row r="920" spans="1:5">
      <c r="A920" t="s">
        <v>67</v>
      </c>
      <c r="B920" t="s">
        <v>67</v>
      </c>
      <c r="C920" t="s">
        <v>938</v>
      </c>
      <c r="D920" s="24" t="s">
        <v>43</v>
      </c>
      <c r="E920" s="25" t="s">
        <v>940</v>
      </c>
    </row>
    <row r="921" spans="1:5">
      <c r="E921" s="27" t="s">
        <v>941</v>
      </c>
    </row>
    <row r="922" spans="1:5">
      <c r="A922" t="s">
        <v>81</v>
      </c>
      <c r="B922" t="s">
        <v>81</v>
      </c>
      <c r="C922" t="s">
        <v>938</v>
      </c>
      <c r="D922" s="24" t="s">
        <v>43</v>
      </c>
      <c r="E922" s="32" t="s">
        <v>942</v>
      </c>
    </row>
    <row r="923" spans="1:5" ht="17">
      <c r="E923" s="22" t="s">
        <v>222</v>
      </c>
    </row>
    <row r="924" spans="1:5">
      <c r="A924" t="s">
        <v>91</v>
      </c>
      <c r="B924" t="s">
        <v>91</v>
      </c>
      <c r="C924" t="s">
        <v>938</v>
      </c>
      <c r="D924" s="24" t="s">
        <v>43</v>
      </c>
      <c r="E924" s="30" t="s">
        <v>943</v>
      </c>
    </row>
    <row r="925" spans="1:5">
      <c r="E925" s="29" t="s">
        <v>944</v>
      </c>
    </row>
    <row r="926" spans="1:5">
      <c r="A926" t="s">
        <v>91</v>
      </c>
      <c r="B926" t="s">
        <v>91</v>
      </c>
      <c r="C926" t="s">
        <v>938</v>
      </c>
      <c r="D926" s="24" t="s">
        <v>43</v>
      </c>
      <c r="E926" s="30" t="s">
        <v>945</v>
      </c>
    </row>
    <row r="927" spans="1:5">
      <c r="A927" t="s">
        <v>91</v>
      </c>
      <c r="B927" t="s">
        <v>91</v>
      </c>
      <c r="C927" t="s">
        <v>938</v>
      </c>
      <c r="D927" s="24" t="s">
        <v>43</v>
      </c>
      <c r="E927" s="25" t="s">
        <v>946</v>
      </c>
    </row>
    <row r="928" spans="1:5">
      <c r="A928" t="s">
        <v>91</v>
      </c>
      <c r="B928" t="s">
        <v>91</v>
      </c>
      <c r="C928" t="s">
        <v>938</v>
      </c>
      <c r="D928" s="24" t="s">
        <v>43</v>
      </c>
      <c r="E928" s="30" t="s">
        <v>947</v>
      </c>
    </row>
    <row r="929" spans="1:5">
      <c r="A929" t="s">
        <v>91</v>
      </c>
      <c r="B929" t="s">
        <v>91</v>
      </c>
      <c r="C929" t="s">
        <v>938</v>
      </c>
      <c r="D929" s="24" t="s">
        <v>43</v>
      </c>
      <c r="E929" s="25" t="s">
        <v>948</v>
      </c>
    </row>
    <row r="930" spans="1:5">
      <c r="A930" t="s">
        <v>91</v>
      </c>
      <c r="B930" t="s">
        <v>91</v>
      </c>
      <c r="C930" t="s">
        <v>938</v>
      </c>
      <c r="D930" s="24" t="s">
        <v>43</v>
      </c>
      <c r="E930" s="25" t="s">
        <v>949</v>
      </c>
    </row>
    <row r="931" spans="1:5" ht="17">
      <c r="E931" s="22" t="s">
        <v>950</v>
      </c>
    </row>
    <row r="932" spans="1:5">
      <c r="A932" t="s">
        <v>105</v>
      </c>
      <c r="B932" t="s">
        <v>105</v>
      </c>
      <c r="C932" t="s">
        <v>938</v>
      </c>
      <c r="D932" s="24" t="s">
        <v>43</v>
      </c>
      <c r="E932" s="25" t="s">
        <v>951</v>
      </c>
    </row>
    <row r="933" spans="1:5">
      <c r="A933" t="s">
        <v>105</v>
      </c>
      <c r="B933" t="s">
        <v>105</v>
      </c>
      <c r="C933" t="s">
        <v>938</v>
      </c>
      <c r="D933" s="24" t="s">
        <v>43</v>
      </c>
      <c r="E933" s="25" t="s">
        <v>952</v>
      </c>
    </row>
    <row r="934" spans="1:5">
      <c r="A934" t="s">
        <v>105</v>
      </c>
      <c r="B934" t="s">
        <v>105</v>
      </c>
      <c r="C934" t="s">
        <v>938</v>
      </c>
      <c r="D934" s="24" t="s">
        <v>43</v>
      </c>
      <c r="E934" s="25" t="s">
        <v>953</v>
      </c>
    </row>
    <row r="935" spans="1:5">
      <c r="A935" t="s">
        <v>105</v>
      </c>
      <c r="B935" t="s">
        <v>105</v>
      </c>
      <c r="C935" t="s">
        <v>938</v>
      </c>
      <c r="D935" s="24" t="s">
        <v>43</v>
      </c>
      <c r="E935" s="25" t="s">
        <v>954</v>
      </c>
    </row>
    <row r="936" spans="1:5">
      <c r="A936" t="s">
        <v>105</v>
      </c>
      <c r="B936" t="s">
        <v>105</v>
      </c>
      <c r="C936" t="s">
        <v>938</v>
      </c>
      <c r="D936" s="24" t="s">
        <v>43</v>
      </c>
      <c r="E936" s="25" t="s">
        <v>955</v>
      </c>
    </row>
    <row r="937" spans="1:5">
      <c r="A937" t="s">
        <v>105</v>
      </c>
      <c r="B937" t="s">
        <v>105</v>
      </c>
      <c r="C937" t="s">
        <v>938</v>
      </c>
      <c r="D937" s="24" t="s">
        <v>43</v>
      </c>
      <c r="E937" s="25" t="s">
        <v>956</v>
      </c>
    </row>
    <row r="938" spans="1:5">
      <c r="A938" t="s">
        <v>105</v>
      </c>
      <c r="B938" t="s">
        <v>105</v>
      </c>
      <c r="C938" t="s">
        <v>938</v>
      </c>
      <c r="D938" s="24" t="s">
        <v>43</v>
      </c>
      <c r="E938" s="25" t="s">
        <v>957</v>
      </c>
    </row>
    <row r="939" spans="1:5" ht="17">
      <c r="E939" s="22" t="s">
        <v>958</v>
      </c>
    </row>
    <row r="940" spans="1:5">
      <c r="E940" s="23" t="s">
        <v>419</v>
      </c>
    </row>
    <row r="941" spans="1:5">
      <c r="A941" t="s">
        <v>109</v>
      </c>
      <c r="B941" t="s">
        <v>110</v>
      </c>
      <c r="C941" t="s">
        <v>938</v>
      </c>
      <c r="D941" s="24" t="s">
        <v>43</v>
      </c>
      <c r="E941" s="25" t="s">
        <v>959</v>
      </c>
    </row>
    <row r="942" spans="1:5">
      <c r="A942" t="s">
        <v>109</v>
      </c>
      <c r="B942" t="s">
        <v>110</v>
      </c>
      <c r="C942" t="s">
        <v>938</v>
      </c>
      <c r="D942" s="24" t="s">
        <v>43</v>
      </c>
      <c r="E942" s="25" t="s">
        <v>960</v>
      </c>
    </row>
    <row r="943" spans="1:5">
      <c r="A943" t="s">
        <v>109</v>
      </c>
      <c r="B943" t="s">
        <v>110</v>
      </c>
      <c r="C943" t="s">
        <v>938</v>
      </c>
      <c r="D943" s="24" t="s">
        <v>43</v>
      </c>
      <c r="E943" s="25" t="s">
        <v>961</v>
      </c>
    </row>
    <row r="944" spans="1:5">
      <c r="A944" t="s">
        <v>109</v>
      </c>
      <c r="B944" t="s">
        <v>110</v>
      </c>
      <c r="C944" t="s">
        <v>938</v>
      </c>
      <c r="D944" s="24" t="s">
        <v>43</v>
      </c>
      <c r="E944" s="25" t="s">
        <v>962</v>
      </c>
    </row>
    <row r="945" spans="1:5">
      <c r="A945" t="s">
        <v>109</v>
      </c>
      <c r="B945" t="s">
        <v>110</v>
      </c>
      <c r="C945" t="s">
        <v>938</v>
      </c>
      <c r="D945" s="24" t="s">
        <v>43</v>
      </c>
      <c r="E945" s="25" t="s">
        <v>963</v>
      </c>
    </row>
    <row r="946" spans="1:5">
      <c r="A946" t="s">
        <v>109</v>
      </c>
      <c r="B946" t="s">
        <v>110</v>
      </c>
      <c r="C946" t="s">
        <v>938</v>
      </c>
      <c r="D946" s="24" t="s">
        <v>43</v>
      </c>
      <c r="E946" s="25" t="s">
        <v>964</v>
      </c>
    </row>
    <row r="947" spans="1:5">
      <c r="A947" t="s">
        <v>109</v>
      </c>
      <c r="B947" t="s">
        <v>110</v>
      </c>
      <c r="C947" t="s">
        <v>938</v>
      </c>
      <c r="D947" s="24" t="s">
        <v>43</v>
      </c>
      <c r="E947" s="25" t="s">
        <v>965</v>
      </c>
    </row>
    <row r="948" spans="1:5">
      <c r="A948" t="s">
        <v>109</v>
      </c>
      <c r="B948" t="s">
        <v>110</v>
      </c>
      <c r="C948" t="s">
        <v>938</v>
      </c>
      <c r="D948" s="24" t="s">
        <v>43</v>
      </c>
      <c r="E948" s="25" t="s">
        <v>966</v>
      </c>
    </row>
    <row r="949" spans="1:5">
      <c r="E949" s="23" t="s">
        <v>967</v>
      </c>
    </row>
    <row r="950" spans="1:5">
      <c r="A950" t="s">
        <v>109</v>
      </c>
      <c r="B950" t="s">
        <v>118</v>
      </c>
      <c r="C950" t="s">
        <v>938</v>
      </c>
      <c r="D950" s="24" t="s">
        <v>43</v>
      </c>
      <c r="E950" s="25" t="s">
        <v>968</v>
      </c>
    </row>
    <row r="951" spans="1:5">
      <c r="A951" t="s">
        <v>109</v>
      </c>
      <c r="B951" t="s">
        <v>118</v>
      </c>
      <c r="C951" t="s">
        <v>938</v>
      </c>
      <c r="D951" s="24" t="s">
        <v>43</v>
      </c>
      <c r="E951" s="25" t="s">
        <v>969</v>
      </c>
    </row>
    <row r="952" spans="1:5">
      <c r="A952" t="s">
        <v>109</v>
      </c>
      <c r="B952" t="s">
        <v>118</v>
      </c>
      <c r="C952" t="s">
        <v>938</v>
      </c>
      <c r="D952" s="24" t="s">
        <v>43</v>
      </c>
      <c r="E952" s="25" t="s">
        <v>970</v>
      </c>
    </row>
    <row r="953" spans="1:5">
      <c r="A953" t="s">
        <v>109</v>
      </c>
      <c r="B953" t="s">
        <v>118</v>
      </c>
      <c r="C953" t="s">
        <v>938</v>
      </c>
      <c r="D953" s="24" t="s">
        <v>43</v>
      </c>
      <c r="E953" s="25" t="s">
        <v>971</v>
      </c>
    </row>
    <row r="954" spans="1:5">
      <c r="A954" t="s">
        <v>109</v>
      </c>
      <c r="B954" t="s">
        <v>118</v>
      </c>
      <c r="C954" t="s">
        <v>938</v>
      </c>
      <c r="D954" s="24" t="s">
        <v>43</v>
      </c>
      <c r="E954" s="25" t="s">
        <v>972</v>
      </c>
    </row>
    <row r="955" spans="1:5">
      <c r="A955" t="s">
        <v>109</v>
      </c>
      <c r="B955" t="s">
        <v>118</v>
      </c>
      <c r="C955" t="s">
        <v>938</v>
      </c>
      <c r="D955" s="24" t="s">
        <v>43</v>
      </c>
      <c r="E955" s="25" t="s">
        <v>973</v>
      </c>
    </row>
    <row r="956" spans="1:5">
      <c r="A956" t="s">
        <v>109</v>
      </c>
      <c r="B956" t="s">
        <v>118</v>
      </c>
      <c r="C956" t="s">
        <v>938</v>
      </c>
      <c r="D956" s="24" t="s">
        <v>43</v>
      </c>
      <c r="E956" s="25" t="s">
        <v>974</v>
      </c>
    </row>
    <row r="957" spans="1:5">
      <c r="E957" s="23" t="s">
        <v>975</v>
      </c>
    </row>
    <row r="958" spans="1:5">
      <c r="A958" t="s">
        <v>109</v>
      </c>
      <c r="B958" s="8" t="s">
        <v>124</v>
      </c>
      <c r="C958" t="s">
        <v>938</v>
      </c>
      <c r="D958" s="24" t="s">
        <v>43</v>
      </c>
      <c r="E958" s="25" t="s">
        <v>976</v>
      </c>
    </row>
    <row r="959" spans="1:5">
      <c r="A959" t="s">
        <v>109</v>
      </c>
      <c r="B959" s="8" t="s">
        <v>124</v>
      </c>
      <c r="C959" t="s">
        <v>938</v>
      </c>
      <c r="D959" s="24" t="s">
        <v>43</v>
      </c>
      <c r="E959" s="25" t="s">
        <v>977</v>
      </c>
    </row>
    <row r="960" spans="1:5">
      <c r="A960" t="s">
        <v>109</v>
      </c>
      <c r="B960" s="8" t="s">
        <v>124</v>
      </c>
      <c r="C960" t="s">
        <v>938</v>
      </c>
      <c r="D960" s="24" t="s">
        <v>43</v>
      </c>
      <c r="E960" s="25" t="s">
        <v>978</v>
      </c>
    </row>
    <row r="961" spans="1:5">
      <c r="A961" t="s">
        <v>109</v>
      </c>
      <c r="B961" s="8" t="s">
        <v>124</v>
      </c>
      <c r="C961" t="s">
        <v>938</v>
      </c>
      <c r="D961" s="24" t="s">
        <v>43</v>
      </c>
      <c r="E961" s="25" t="s">
        <v>979</v>
      </c>
    </row>
    <row r="962" spans="1:5">
      <c r="A962" t="s">
        <v>109</v>
      </c>
      <c r="B962" s="8" t="s">
        <v>124</v>
      </c>
      <c r="C962" t="s">
        <v>938</v>
      </c>
      <c r="D962" s="24" t="s">
        <v>43</v>
      </c>
      <c r="E962" s="25" t="s">
        <v>980</v>
      </c>
    </row>
    <row r="963" spans="1:5">
      <c r="A963" t="s">
        <v>109</v>
      </c>
      <c r="B963" s="8" t="s">
        <v>124</v>
      </c>
      <c r="C963" t="s">
        <v>938</v>
      </c>
      <c r="D963" s="24" t="s">
        <v>43</v>
      </c>
      <c r="E963" s="25" t="s">
        <v>981</v>
      </c>
    </row>
    <row r="964" spans="1:5">
      <c r="A964" t="s">
        <v>109</v>
      </c>
      <c r="B964" s="8" t="s">
        <v>124</v>
      </c>
      <c r="C964" t="s">
        <v>938</v>
      </c>
      <c r="D964" s="24" t="s">
        <v>43</v>
      </c>
      <c r="E964" s="25" t="s">
        <v>982</v>
      </c>
    </row>
    <row r="965" spans="1:5" ht="17">
      <c r="E965" s="22" t="s">
        <v>824</v>
      </c>
    </row>
    <row r="966" spans="1:5">
      <c r="E966" s="23" t="s">
        <v>983</v>
      </c>
    </row>
    <row r="967" spans="1:5">
      <c r="A967" t="s">
        <v>134</v>
      </c>
      <c r="B967" t="s">
        <v>135</v>
      </c>
      <c r="C967" t="s">
        <v>938</v>
      </c>
      <c r="D967" s="24" t="s">
        <v>43</v>
      </c>
      <c r="E967" s="25" t="s">
        <v>984</v>
      </c>
    </row>
    <row r="968" spans="1:5">
      <c r="A968" t="s">
        <v>134</v>
      </c>
      <c r="B968" t="s">
        <v>135</v>
      </c>
      <c r="C968" t="s">
        <v>938</v>
      </c>
      <c r="D968" s="24" t="s">
        <v>43</v>
      </c>
      <c r="E968" s="25" t="s">
        <v>985</v>
      </c>
    </row>
    <row r="969" spans="1:5">
      <c r="A969" t="s">
        <v>134</v>
      </c>
      <c r="B969" t="s">
        <v>135</v>
      </c>
      <c r="C969" t="s">
        <v>938</v>
      </c>
      <c r="D969" s="24" t="s">
        <v>43</v>
      </c>
      <c r="E969" s="25" t="s">
        <v>986</v>
      </c>
    </row>
    <row r="970" spans="1:5">
      <c r="E970" s="23" t="s">
        <v>987</v>
      </c>
    </row>
    <row r="971" spans="1:5">
      <c r="A971" t="s">
        <v>134</v>
      </c>
      <c r="B971" t="s">
        <v>144</v>
      </c>
      <c r="C971" t="s">
        <v>938</v>
      </c>
      <c r="D971" s="24" t="s">
        <v>43</v>
      </c>
      <c r="E971" s="25" t="s">
        <v>988</v>
      </c>
    </row>
    <row r="972" spans="1:5">
      <c r="E972" s="23" t="s">
        <v>602</v>
      </c>
    </row>
    <row r="973" spans="1:5">
      <c r="A973" t="s">
        <v>134</v>
      </c>
      <c r="B973" t="s">
        <v>294</v>
      </c>
      <c r="C973" t="s">
        <v>938</v>
      </c>
      <c r="D973" s="24" t="s">
        <v>43</v>
      </c>
      <c r="E973" s="25" t="s">
        <v>989</v>
      </c>
    </row>
    <row r="974" spans="1:5">
      <c r="A974" t="s">
        <v>134</v>
      </c>
      <c r="B974" t="s">
        <v>294</v>
      </c>
      <c r="C974" t="s">
        <v>938</v>
      </c>
      <c r="D974" s="24" t="s">
        <v>43</v>
      </c>
      <c r="E974" s="25" t="s">
        <v>990</v>
      </c>
    </row>
    <row r="975" spans="1:5">
      <c r="A975" t="s">
        <v>134</v>
      </c>
      <c r="B975" t="s">
        <v>294</v>
      </c>
      <c r="C975" t="s">
        <v>938</v>
      </c>
      <c r="D975" s="24" t="s">
        <v>43</v>
      </c>
      <c r="E975" s="25" t="s">
        <v>991</v>
      </c>
    </row>
    <row r="976" spans="1:5">
      <c r="A976" t="s">
        <v>134</v>
      </c>
      <c r="B976" t="s">
        <v>294</v>
      </c>
      <c r="C976" t="s">
        <v>938</v>
      </c>
      <c r="D976" s="24" t="s">
        <v>43</v>
      </c>
      <c r="E976" s="25" t="s">
        <v>992</v>
      </c>
    </row>
    <row r="977" spans="1:5">
      <c r="A977" t="s">
        <v>134</v>
      </c>
      <c r="B977" t="s">
        <v>294</v>
      </c>
      <c r="C977" t="s">
        <v>938</v>
      </c>
      <c r="D977" s="24" t="s">
        <v>43</v>
      </c>
      <c r="E977" s="25" t="s">
        <v>993</v>
      </c>
    </row>
    <row r="978" spans="1:5">
      <c r="E978" s="23" t="s">
        <v>994</v>
      </c>
    </row>
    <row r="979" spans="1:5">
      <c r="A979" t="s">
        <v>134</v>
      </c>
      <c r="B979" t="s">
        <v>149</v>
      </c>
      <c r="C979" t="s">
        <v>938</v>
      </c>
      <c r="D979" s="24" t="s">
        <v>43</v>
      </c>
      <c r="E979" s="25" t="s">
        <v>995</v>
      </c>
    </row>
    <row r="980" spans="1:5">
      <c r="A980" t="s">
        <v>134</v>
      </c>
      <c r="B980" t="s">
        <v>149</v>
      </c>
      <c r="C980" t="s">
        <v>938</v>
      </c>
      <c r="D980" s="24" t="s">
        <v>43</v>
      </c>
      <c r="E980" s="25" t="s">
        <v>996</v>
      </c>
    </row>
    <row r="981" spans="1:5">
      <c r="A981" t="s">
        <v>134</v>
      </c>
      <c r="B981" t="s">
        <v>149</v>
      </c>
      <c r="C981" t="s">
        <v>938</v>
      </c>
      <c r="D981" s="24" t="s">
        <v>43</v>
      </c>
      <c r="E981" s="25" t="s">
        <v>997</v>
      </c>
    </row>
    <row r="982" spans="1:5">
      <c r="A982" t="s">
        <v>134</v>
      </c>
      <c r="B982" t="s">
        <v>149</v>
      </c>
      <c r="C982" t="s">
        <v>938</v>
      </c>
      <c r="D982" s="24" t="s">
        <v>43</v>
      </c>
      <c r="E982" s="25" t="s">
        <v>998</v>
      </c>
    </row>
    <row r="983" spans="1:5">
      <c r="A983" t="s">
        <v>134</v>
      </c>
      <c r="B983" t="s">
        <v>149</v>
      </c>
      <c r="C983" t="s">
        <v>938</v>
      </c>
      <c r="D983" s="24" t="s">
        <v>43</v>
      </c>
      <c r="E983" s="25" t="s">
        <v>999</v>
      </c>
    </row>
    <row r="984" spans="1:5">
      <c r="A984" t="s">
        <v>134</v>
      </c>
      <c r="B984" t="s">
        <v>149</v>
      </c>
      <c r="C984" t="s">
        <v>938</v>
      </c>
      <c r="D984" s="24" t="s">
        <v>43</v>
      </c>
      <c r="E984" s="25" t="s">
        <v>1000</v>
      </c>
    </row>
    <row r="985" spans="1:5">
      <c r="A985" t="s">
        <v>134</v>
      </c>
      <c r="B985" t="s">
        <v>149</v>
      </c>
      <c r="C985" t="s">
        <v>938</v>
      </c>
      <c r="D985" s="24" t="s">
        <v>43</v>
      </c>
      <c r="E985" s="25" t="s">
        <v>1001</v>
      </c>
    </row>
    <row r="986" spans="1:5" ht="17">
      <c r="E986" s="22" t="s">
        <v>1002</v>
      </c>
    </row>
    <row r="987" spans="1:5">
      <c r="E987" s="23" t="s">
        <v>1003</v>
      </c>
    </row>
    <row r="988" spans="1:5">
      <c r="A988" t="s">
        <v>160</v>
      </c>
      <c r="B988" t="s">
        <v>161</v>
      </c>
      <c r="C988" t="s">
        <v>938</v>
      </c>
      <c r="D988" s="24" t="s">
        <v>43</v>
      </c>
      <c r="E988" s="25" t="s">
        <v>1004</v>
      </c>
    </row>
    <row r="989" spans="1:5">
      <c r="A989" t="s">
        <v>160</v>
      </c>
      <c r="B989" t="s">
        <v>161</v>
      </c>
      <c r="C989" t="s">
        <v>938</v>
      </c>
      <c r="D989" s="24" t="s">
        <v>43</v>
      </c>
      <c r="E989" s="25" t="s">
        <v>1005</v>
      </c>
    </row>
    <row r="990" spans="1:5">
      <c r="A990" t="s">
        <v>160</v>
      </c>
      <c r="B990" t="s">
        <v>161</v>
      </c>
      <c r="C990" t="s">
        <v>938</v>
      </c>
      <c r="D990" s="24" t="s">
        <v>43</v>
      </c>
      <c r="E990" s="25" t="s">
        <v>1006</v>
      </c>
    </row>
    <row r="991" spans="1:5">
      <c r="E991" s="23" t="s">
        <v>1007</v>
      </c>
    </row>
    <row r="992" spans="1:5">
      <c r="A992" t="s">
        <v>160</v>
      </c>
      <c r="B992" t="s">
        <v>165</v>
      </c>
      <c r="C992" t="s">
        <v>938</v>
      </c>
      <c r="D992" s="24" t="s">
        <v>43</v>
      </c>
      <c r="E992" s="25" t="s">
        <v>1008</v>
      </c>
    </row>
    <row r="993" spans="1:5">
      <c r="A993" t="s">
        <v>160</v>
      </c>
      <c r="B993" t="s">
        <v>165</v>
      </c>
      <c r="C993" t="s">
        <v>938</v>
      </c>
      <c r="D993" s="24" t="s">
        <v>43</v>
      </c>
      <c r="E993" s="25" t="s">
        <v>1009</v>
      </c>
    </row>
    <row r="994" spans="1:5">
      <c r="A994" t="s">
        <v>160</v>
      </c>
      <c r="B994" t="s">
        <v>165</v>
      </c>
      <c r="C994" t="s">
        <v>938</v>
      </c>
      <c r="D994" s="24" t="s">
        <v>43</v>
      </c>
      <c r="E994" s="25" t="s">
        <v>1010</v>
      </c>
    </row>
    <row r="995" spans="1:5">
      <c r="A995" t="s">
        <v>160</v>
      </c>
      <c r="B995" t="s">
        <v>165</v>
      </c>
      <c r="C995" t="s">
        <v>938</v>
      </c>
      <c r="D995" s="24" t="s">
        <v>43</v>
      </c>
      <c r="E995" s="25" t="s">
        <v>1011</v>
      </c>
    </row>
    <row r="996" spans="1:5">
      <c r="A996" t="s">
        <v>160</v>
      </c>
      <c r="B996" t="s">
        <v>165</v>
      </c>
      <c r="C996" t="s">
        <v>938</v>
      </c>
      <c r="D996" s="24" t="s">
        <v>43</v>
      </c>
      <c r="E996" s="25" t="s">
        <v>1012</v>
      </c>
    </row>
    <row r="997" spans="1:5">
      <c r="A997" t="s">
        <v>160</v>
      </c>
      <c r="B997" t="s">
        <v>165</v>
      </c>
      <c r="C997" t="s">
        <v>938</v>
      </c>
      <c r="D997" s="24" t="s">
        <v>43</v>
      </c>
      <c r="E997" s="25" t="s">
        <v>1013</v>
      </c>
    </row>
    <row r="998" spans="1:5">
      <c r="A998" t="s">
        <v>160</v>
      </c>
      <c r="B998" t="s">
        <v>165</v>
      </c>
      <c r="C998" t="s">
        <v>938</v>
      </c>
      <c r="D998" s="24" t="s">
        <v>43</v>
      </c>
      <c r="E998" s="25" t="s">
        <v>1014</v>
      </c>
    </row>
    <row r="999" spans="1:5">
      <c r="A999" t="s">
        <v>160</v>
      </c>
      <c r="B999" t="s">
        <v>165</v>
      </c>
      <c r="C999" t="s">
        <v>938</v>
      </c>
      <c r="D999" s="24" t="s">
        <v>43</v>
      </c>
      <c r="E999" s="25" t="s">
        <v>1015</v>
      </c>
    </row>
    <row r="1000" spans="1:5">
      <c r="A1000" t="s">
        <v>160</v>
      </c>
      <c r="B1000" t="s">
        <v>165</v>
      </c>
      <c r="C1000" t="s">
        <v>938</v>
      </c>
      <c r="D1000" s="24" t="s">
        <v>43</v>
      </c>
      <c r="E1000" s="25" t="s">
        <v>1016</v>
      </c>
    </row>
    <row r="1001" spans="1:5">
      <c r="A1001" t="s">
        <v>160</v>
      </c>
      <c r="B1001" t="s">
        <v>165</v>
      </c>
      <c r="C1001" t="s">
        <v>938</v>
      </c>
      <c r="D1001" s="24" t="s">
        <v>43</v>
      </c>
      <c r="E1001" s="25" t="s">
        <v>1017</v>
      </c>
    </row>
    <row r="1002" spans="1:5">
      <c r="A1002" t="s">
        <v>160</v>
      </c>
      <c r="B1002" t="s">
        <v>165</v>
      </c>
      <c r="C1002" t="s">
        <v>938</v>
      </c>
      <c r="D1002" s="24" t="s">
        <v>43</v>
      </c>
      <c r="E1002" s="25" t="s">
        <v>1018</v>
      </c>
    </row>
    <row r="1003" spans="1:5">
      <c r="A1003" t="s">
        <v>160</v>
      </c>
      <c r="B1003" t="s">
        <v>165</v>
      </c>
      <c r="C1003" t="s">
        <v>938</v>
      </c>
      <c r="D1003" s="24" t="s">
        <v>43</v>
      </c>
      <c r="E1003" s="25" t="s">
        <v>1019</v>
      </c>
    </row>
    <row r="1004" spans="1:5">
      <c r="A1004" t="s">
        <v>160</v>
      </c>
      <c r="B1004" t="s">
        <v>165</v>
      </c>
      <c r="C1004" t="s">
        <v>938</v>
      </c>
      <c r="D1004" s="24" t="s">
        <v>43</v>
      </c>
      <c r="E1004" s="25" t="s">
        <v>1020</v>
      </c>
    </row>
    <row r="1005" spans="1:5" ht="19.5">
      <c r="E1005" s="21" t="s">
        <v>1021</v>
      </c>
    </row>
    <row r="1006" spans="1:5" ht="17">
      <c r="E1006" s="22" t="s">
        <v>387</v>
      </c>
    </row>
    <row r="1007" spans="1:5">
      <c r="A1007" t="s">
        <v>91</v>
      </c>
      <c r="B1007" t="s">
        <v>91</v>
      </c>
      <c r="C1007" t="s">
        <v>1022</v>
      </c>
      <c r="D1007" s="24" t="s">
        <v>43</v>
      </c>
      <c r="E1007" s="30" t="s">
        <v>1023</v>
      </c>
    </row>
    <row r="1008" spans="1:5">
      <c r="E1008" s="29" t="s">
        <v>1024</v>
      </c>
    </row>
    <row r="1009" spans="1:5">
      <c r="A1009" t="s">
        <v>91</v>
      </c>
      <c r="B1009" t="s">
        <v>91</v>
      </c>
      <c r="C1009" t="s">
        <v>1022</v>
      </c>
      <c r="D1009" s="24" t="s">
        <v>43</v>
      </c>
      <c r="E1009" s="25" t="s">
        <v>1025</v>
      </c>
    </row>
    <row r="1010" spans="1:5">
      <c r="A1010" t="s">
        <v>91</v>
      </c>
      <c r="B1010" t="s">
        <v>91</v>
      </c>
      <c r="C1010" t="s">
        <v>1022</v>
      </c>
      <c r="D1010" s="24" t="s">
        <v>43</v>
      </c>
      <c r="E1010" s="25" t="s">
        <v>1026</v>
      </c>
    </row>
    <row r="1011" spans="1:5">
      <c r="A1011" t="s">
        <v>91</v>
      </c>
      <c r="B1011" t="s">
        <v>91</v>
      </c>
      <c r="C1011" t="s">
        <v>1022</v>
      </c>
      <c r="D1011" s="24" t="s">
        <v>43</v>
      </c>
      <c r="E1011" s="30" t="s">
        <v>1027</v>
      </c>
    </row>
    <row r="1012" spans="1:5">
      <c r="A1012" t="s">
        <v>91</v>
      </c>
      <c r="B1012" t="s">
        <v>91</v>
      </c>
      <c r="C1012" t="s">
        <v>1022</v>
      </c>
      <c r="D1012" s="24" t="s">
        <v>43</v>
      </c>
      <c r="E1012" s="25" t="s">
        <v>1028</v>
      </c>
    </row>
    <row r="1013" spans="1:5">
      <c r="A1013" t="s">
        <v>91</v>
      </c>
      <c r="B1013" t="s">
        <v>91</v>
      </c>
      <c r="C1013" t="s">
        <v>1022</v>
      </c>
      <c r="D1013" s="24" t="s">
        <v>43</v>
      </c>
      <c r="E1013" s="25" t="s">
        <v>1029</v>
      </c>
    </row>
    <row r="1014" spans="1:5">
      <c r="A1014" t="s">
        <v>91</v>
      </c>
      <c r="B1014" t="s">
        <v>91</v>
      </c>
      <c r="C1014" t="s">
        <v>1022</v>
      </c>
      <c r="D1014" s="24" t="s">
        <v>43</v>
      </c>
      <c r="E1014" s="25" t="s">
        <v>1030</v>
      </c>
    </row>
    <row r="1015" spans="1:5">
      <c r="A1015" t="s">
        <v>91</v>
      </c>
      <c r="B1015" t="s">
        <v>91</v>
      </c>
      <c r="C1015" t="s">
        <v>1022</v>
      </c>
      <c r="D1015" s="24" t="s">
        <v>43</v>
      </c>
      <c r="E1015" s="25" t="s">
        <v>1031</v>
      </c>
    </row>
    <row r="1016" spans="1:5">
      <c r="A1016" t="s">
        <v>91</v>
      </c>
      <c r="B1016" t="s">
        <v>91</v>
      </c>
      <c r="C1016" t="s">
        <v>1022</v>
      </c>
      <c r="D1016" s="24" t="s">
        <v>43</v>
      </c>
      <c r="E1016" s="25" t="s">
        <v>1032</v>
      </c>
    </row>
    <row r="1017" spans="1:5">
      <c r="A1017" t="s">
        <v>91</v>
      </c>
      <c r="B1017" t="s">
        <v>91</v>
      </c>
      <c r="C1017" t="s">
        <v>1022</v>
      </c>
      <c r="D1017" s="24" t="s">
        <v>43</v>
      </c>
      <c r="E1017" s="25" t="s">
        <v>1033</v>
      </c>
    </row>
    <row r="1018" spans="1:5" ht="17">
      <c r="E1018" s="22" t="s">
        <v>1034</v>
      </c>
    </row>
    <row r="1019" spans="1:5">
      <c r="A1019" t="s">
        <v>105</v>
      </c>
      <c r="B1019" t="s">
        <v>105</v>
      </c>
      <c r="C1019" t="s">
        <v>1022</v>
      </c>
      <c r="D1019" s="24" t="s">
        <v>43</v>
      </c>
      <c r="E1019" s="25" t="s">
        <v>1035</v>
      </c>
    </row>
    <row r="1020" spans="1:5">
      <c r="A1020" t="s">
        <v>105</v>
      </c>
      <c r="B1020" t="s">
        <v>105</v>
      </c>
      <c r="C1020" t="s">
        <v>1022</v>
      </c>
      <c r="D1020" s="24" t="s">
        <v>43</v>
      </c>
      <c r="E1020" s="25" t="s">
        <v>1036</v>
      </c>
    </row>
    <row r="1021" spans="1:5">
      <c r="A1021" t="s">
        <v>105</v>
      </c>
      <c r="B1021" t="s">
        <v>105</v>
      </c>
      <c r="C1021" t="s">
        <v>1022</v>
      </c>
      <c r="D1021" s="24" t="s">
        <v>43</v>
      </c>
      <c r="E1021" s="25" t="s">
        <v>1037</v>
      </c>
    </row>
    <row r="1022" spans="1:5">
      <c r="A1022" t="s">
        <v>105</v>
      </c>
      <c r="B1022" t="s">
        <v>105</v>
      </c>
      <c r="C1022" t="s">
        <v>1022</v>
      </c>
      <c r="D1022" s="24" t="s">
        <v>43</v>
      </c>
      <c r="E1022" s="25" t="s">
        <v>1038</v>
      </c>
    </row>
    <row r="1023" spans="1:5">
      <c r="A1023" t="s">
        <v>105</v>
      </c>
      <c r="B1023" t="s">
        <v>105</v>
      </c>
      <c r="C1023" t="s">
        <v>1022</v>
      </c>
      <c r="D1023" s="24" t="s">
        <v>43</v>
      </c>
      <c r="E1023" s="25" t="s">
        <v>1039</v>
      </c>
    </row>
    <row r="1024" spans="1:5">
      <c r="A1024" t="s">
        <v>105</v>
      </c>
      <c r="B1024" t="s">
        <v>105</v>
      </c>
      <c r="C1024" t="s">
        <v>1022</v>
      </c>
      <c r="D1024" s="24" t="s">
        <v>43</v>
      </c>
      <c r="E1024" s="25" t="s">
        <v>1040</v>
      </c>
    </row>
    <row r="1025" spans="1:5">
      <c r="A1025" t="s">
        <v>105</v>
      </c>
      <c r="B1025" t="s">
        <v>105</v>
      </c>
      <c r="C1025" t="s">
        <v>1022</v>
      </c>
      <c r="D1025" s="24" t="s">
        <v>43</v>
      </c>
      <c r="E1025" s="25" t="s">
        <v>1041</v>
      </c>
    </row>
    <row r="1026" spans="1:5">
      <c r="A1026" t="s">
        <v>105</v>
      </c>
      <c r="B1026" t="s">
        <v>105</v>
      </c>
      <c r="C1026" t="s">
        <v>1022</v>
      </c>
      <c r="D1026" s="24" t="s">
        <v>43</v>
      </c>
      <c r="E1026" s="25" t="s">
        <v>1042</v>
      </c>
    </row>
    <row r="1027" spans="1:5">
      <c r="A1027" t="s">
        <v>105</v>
      </c>
      <c r="B1027" t="s">
        <v>105</v>
      </c>
      <c r="C1027" t="s">
        <v>1022</v>
      </c>
      <c r="D1027" s="24" t="s">
        <v>43</v>
      </c>
      <c r="E1027" s="25" t="s">
        <v>1043</v>
      </c>
    </row>
    <row r="1028" spans="1:5">
      <c r="A1028" t="s">
        <v>105</v>
      </c>
      <c r="B1028" t="s">
        <v>105</v>
      </c>
      <c r="C1028" t="s">
        <v>1022</v>
      </c>
      <c r="D1028" s="24" t="s">
        <v>43</v>
      </c>
      <c r="E1028" s="25" t="s">
        <v>1044</v>
      </c>
    </row>
    <row r="1029" spans="1:5">
      <c r="A1029" t="s">
        <v>105</v>
      </c>
      <c r="B1029" t="s">
        <v>105</v>
      </c>
      <c r="C1029" t="s">
        <v>1022</v>
      </c>
      <c r="D1029" s="24" t="s">
        <v>43</v>
      </c>
      <c r="E1029" s="25" t="s">
        <v>1045</v>
      </c>
    </row>
    <row r="1030" spans="1:5">
      <c r="A1030" t="s">
        <v>105</v>
      </c>
      <c r="B1030" t="s">
        <v>105</v>
      </c>
      <c r="C1030" t="s">
        <v>1022</v>
      </c>
      <c r="D1030" s="24" t="s">
        <v>43</v>
      </c>
      <c r="E1030" s="25" t="s">
        <v>1046</v>
      </c>
    </row>
    <row r="1031" spans="1:5">
      <c r="A1031" t="s">
        <v>105</v>
      </c>
      <c r="B1031" t="s">
        <v>105</v>
      </c>
      <c r="C1031" t="s">
        <v>1022</v>
      </c>
      <c r="D1031" s="24" t="s">
        <v>43</v>
      </c>
      <c r="E1031" s="25" t="s">
        <v>1047</v>
      </c>
    </row>
    <row r="1032" spans="1:5" ht="17">
      <c r="E1032" s="22" t="s">
        <v>1048</v>
      </c>
    </row>
    <row r="1033" spans="1:5">
      <c r="E1033" s="23" t="s">
        <v>1049</v>
      </c>
    </row>
    <row r="1034" spans="1:5">
      <c r="A1034" t="s">
        <v>109</v>
      </c>
      <c r="B1034" t="s">
        <v>110</v>
      </c>
      <c r="C1034" t="s">
        <v>1022</v>
      </c>
      <c r="D1034" s="24" t="s">
        <v>43</v>
      </c>
      <c r="E1034" s="25" t="s">
        <v>1050</v>
      </c>
    </row>
    <row r="1035" spans="1:5">
      <c r="A1035" t="s">
        <v>109</v>
      </c>
      <c r="B1035" t="s">
        <v>110</v>
      </c>
      <c r="C1035" t="s">
        <v>1022</v>
      </c>
      <c r="D1035" s="24" t="s">
        <v>43</v>
      </c>
      <c r="E1035" s="25" t="s">
        <v>1051</v>
      </c>
    </row>
    <row r="1036" spans="1:5">
      <c r="A1036" t="s">
        <v>109</v>
      </c>
      <c r="B1036" t="s">
        <v>110</v>
      </c>
      <c r="C1036" t="s">
        <v>1022</v>
      </c>
      <c r="D1036" s="24" t="s">
        <v>43</v>
      </c>
      <c r="E1036" s="25" t="s">
        <v>1052</v>
      </c>
    </row>
    <row r="1037" spans="1:5">
      <c r="A1037" t="s">
        <v>109</v>
      </c>
      <c r="B1037" t="s">
        <v>110</v>
      </c>
      <c r="C1037" t="s">
        <v>1022</v>
      </c>
      <c r="D1037" s="24" t="s">
        <v>43</v>
      </c>
      <c r="E1037" s="25" t="s">
        <v>1053</v>
      </c>
    </row>
    <row r="1038" spans="1:5">
      <c r="A1038" t="s">
        <v>109</v>
      </c>
      <c r="B1038" t="s">
        <v>110</v>
      </c>
      <c r="C1038" t="s">
        <v>1022</v>
      </c>
      <c r="D1038" s="24" t="s">
        <v>43</v>
      </c>
      <c r="E1038" s="25" t="s">
        <v>1054</v>
      </c>
    </row>
    <row r="1039" spans="1:5">
      <c r="A1039" t="s">
        <v>109</v>
      </c>
      <c r="B1039" t="s">
        <v>110</v>
      </c>
      <c r="C1039" t="s">
        <v>1022</v>
      </c>
      <c r="D1039" s="24" t="s">
        <v>43</v>
      </c>
      <c r="E1039" s="25" t="s">
        <v>1055</v>
      </c>
    </row>
    <row r="1040" spans="1:5">
      <c r="A1040" t="s">
        <v>109</v>
      </c>
      <c r="B1040" t="s">
        <v>110</v>
      </c>
      <c r="C1040" t="s">
        <v>1022</v>
      </c>
      <c r="D1040" s="24" t="s">
        <v>43</v>
      </c>
      <c r="E1040" s="25" t="s">
        <v>1056</v>
      </c>
    </row>
    <row r="1041" spans="1:5">
      <c r="A1041" t="s">
        <v>109</v>
      </c>
      <c r="B1041" t="s">
        <v>110</v>
      </c>
      <c r="C1041" t="s">
        <v>1022</v>
      </c>
      <c r="D1041" s="24" t="s">
        <v>43</v>
      </c>
      <c r="E1041" s="25" t="s">
        <v>1057</v>
      </c>
    </row>
    <row r="1042" spans="1:5">
      <c r="A1042" t="s">
        <v>109</v>
      </c>
      <c r="B1042" t="s">
        <v>110</v>
      </c>
      <c r="C1042" t="s">
        <v>1022</v>
      </c>
      <c r="D1042" s="24" t="s">
        <v>43</v>
      </c>
      <c r="E1042" s="25" t="s">
        <v>1058</v>
      </c>
    </row>
    <row r="1043" spans="1:5">
      <c r="A1043" t="s">
        <v>109</v>
      </c>
      <c r="B1043" t="s">
        <v>110</v>
      </c>
      <c r="C1043" t="s">
        <v>1022</v>
      </c>
      <c r="D1043" s="24" t="s">
        <v>43</v>
      </c>
      <c r="E1043" s="25" t="s">
        <v>1059</v>
      </c>
    </row>
    <row r="1044" spans="1:5">
      <c r="A1044" t="s">
        <v>109</v>
      </c>
      <c r="B1044" t="s">
        <v>110</v>
      </c>
      <c r="C1044" t="s">
        <v>1022</v>
      </c>
      <c r="D1044" s="24" t="s">
        <v>43</v>
      </c>
      <c r="E1044" s="25" t="s">
        <v>1060</v>
      </c>
    </row>
    <row r="1045" spans="1:5">
      <c r="A1045" t="s">
        <v>109</v>
      </c>
      <c r="B1045" t="s">
        <v>110</v>
      </c>
      <c r="C1045" t="s">
        <v>1022</v>
      </c>
      <c r="D1045" s="24" t="s">
        <v>43</v>
      </c>
      <c r="E1045" s="25" t="s">
        <v>1061</v>
      </c>
    </row>
    <row r="1046" spans="1:5">
      <c r="E1046" s="23" t="s">
        <v>1062</v>
      </c>
    </row>
    <row r="1047" spans="1:5">
      <c r="A1047" t="s">
        <v>109</v>
      </c>
      <c r="B1047" t="s">
        <v>118</v>
      </c>
      <c r="C1047" t="s">
        <v>1022</v>
      </c>
      <c r="D1047" s="24" t="s">
        <v>43</v>
      </c>
      <c r="E1047" s="25" t="s">
        <v>1063</v>
      </c>
    </row>
    <row r="1048" spans="1:5">
      <c r="A1048" t="s">
        <v>109</v>
      </c>
      <c r="B1048" t="s">
        <v>118</v>
      </c>
      <c r="C1048" t="s">
        <v>1022</v>
      </c>
      <c r="D1048" s="24" t="s">
        <v>43</v>
      </c>
      <c r="E1048" s="25" t="s">
        <v>1064</v>
      </c>
    </row>
    <row r="1049" spans="1:5">
      <c r="A1049" t="s">
        <v>109</v>
      </c>
      <c r="B1049" t="s">
        <v>118</v>
      </c>
      <c r="C1049" t="s">
        <v>1022</v>
      </c>
      <c r="D1049" s="24" t="s">
        <v>43</v>
      </c>
      <c r="E1049" s="25" t="s">
        <v>1065</v>
      </c>
    </row>
    <row r="1050" spans="1:5">
      <c r="A1050" t="s">
        <v>109</v>
      </c>
      <c r="B1050" t="s">
        <v>118</v>
      </c>
      <c r="C1050" t="s">
        <v>1022</v>
      </c>
      <c r="D1050" s="24" t="s">
        <v>43</v>
      </c>
      <c r="E1050" s="25" t="s">
        <v>1066</v>
      </c>
    </row>
    <row r="1051" spans="1:5">
      <c r="A1051" t="s">
        <v>109</v>
      </c>
      <c r="B1051" t="s">
        <v>118</v>
      </c>
      <c r="C1051" t="s">
        <v>1022</v>
      </c>
      <c r="D1051" s="24" t="s">
        <v>43</v>
      </c>
      <c r="E1051" s="25" t="s">
        <v>1067</v>
      </c>
    </row>
    <row r="1052" spans="1:5">
      <c r="A1052" t="s">
        <v>109</v>
      </c>
      <c r="B1052" t="s">
        <v>118</v>
      </c>
      <c r="C1052" t="s">
        <v>1022</v>
      </c>
      <c r="D1052" s="24" t="s">
        <v>43</v>
      </c>
      <c r="E1052" s="25" t="s">
        <v>1068</v>
      </c>
    </row>
    <row r="1053" spans="1:5">
      <c r="A1053" t="s">
        <v>109</v>
      </c>
      <c r="B1053" t="s">
        <v>118</v>
      </c>
      <c r="C1053" t="s">
        <v>1022</v>
      </c>
      <c r="D1053" s="24" t="s">
        <v>43</v>
      </c>
      <c r="E1053" s="25" t="s">
        <v>1069</v>
      </c>
    </row>
    <row r="1054" spans="1:5">
      <c r="A1054" t="s">
        <v>109</v>
      </c>
      <c r="B1054" t="s">
        <v>118</v>
      </c>
      <c r="C1054" t="s">
        <v>1022</v>
      </c>
      <c r="D1054" s="24" t="s">
        <v>43</v>
      </c>
      <c r="E1054" s="25" t="s">
        <v>1070</v>
      </c>
    </row>
    <row r="1055" spans="1:5">
      <c r="E1055" s="23" t="s">
        <v>1071</v>
      </c>
    </row>
    <row r="1056" spans="1:5">
      <c r="A1056" t="s">
        <v>109</v>
      </c>
      <c r="B1056" s="8" t="s">
        <v>124</v>
      </c>
      <c r="C1056" t="s">
        <v>1022</v>
      </c>
      <c r="D1056" s="24" t="s">
        <v>43</v>
      </c>
      <c r="E1056" s="25" t="s">
        <v>1072</v>
      </c>
    </row>
    <row r="1057" spans="1:5">
      <c r="A1057" t="s">
        <v>109</v>
      </c>
      <c r="B1057" s="8" t="s">
        <v>124</v>
      </c>
      <c r="C1057" t="s">
        <v>1022</v>
      </c>
      <c r="D1057" s="24" t="s">
        <v>43</v>
      </c>
      <c r="E1057" s="25" t="s">
        <v>1073</v>
      </c>
    </row>
    <row r="1058" spans="1:5">
      <c r="A1058" t="s">
        <v>109</v>
      </c>
      <c r="B1058" s="8" t="s">
        <v>124</v>
      </c>
      <c r="C1058" t="s">
        <v>1022</v>
      </c>
      <c r="D1058" s="24" t="s">
        <v>43</v>
      </c>
      <c r="E1058" s="25" t="s">
        <v>1074</v>
      </c>
    </row>
    <row r="1059" spans="1:5">
      <c r="A1059" t="s">
        <v>109</v>
      </c>
      <c r="B1059" s="8" t="s">
        <v>124</v>
      </c>
      <c r="C1059" t="s">
        <v>1022</v>
      </c>
      <c r="D1059" s="24" t="s">
        <v>43</v>
      </c>
      <c r="E1059" s="25" t="s">
        <v>1075</v>
      </c>
    </row>
    <row r="1060" spans="1:5">
      <c r="A1060" t="s">
        <v>109</v>
      </c>
      <c r="B1060" s="8" t="s">
        <v>124</v>
      </c>
      <c r="C1060" t="s">
        <v>1022</v>
      </c>
      <c r="D1060" s="24" t="s">
        <v>43</v>
      </c>
      <c r="E1060" s="25" t="s">
        <v>1076</v>
      </c>
    </row>
    <row r="1061" spans="1:5">
      <c r="A1061" t="s">
        <v>109</v>
      </c>
      <c r="B1061" s="8" t="s">
        <v>124</v>
      </c>
      <c r="C1061" t="s">
        <v>1022</v>
      </c>
      <c r="D1061" s="24" t="s">
        <v>43</v>
      </c>
      <c r="E1061" s="25" t="s">
        <v>1077</v>
      </c>
    </row>
    <row r="1062" spans="1:5">
      <c r="A1062" t="s">
        <v>109</v>
      </c>
      <c r="B1062" s="8" t="s">
        <v>124</v>
      </c>
      <c r="C1062" t="s">
        <v>1022</v>
      </c>
      <c r="D1062" s="24" t="s">
        <v>43</v>
      </c>
      <c r="E1062" s="25" t="s">
        <v>1078</v>
      </c>
    </row>
    <row r="1063" spans="1:5">
      <c r="A1063" t="s">
        <v>109</v>
      </c>
      <c r="B1063" s="8" t="s">
        <v>124</v>
      </c>
      <c r="C1063" t="s">
        <v>1022</v>
      </c>
      <c r="D1063" s="24" t="s">
        <v>43</v>
      </c>
      <c r="E1063" s="25" t="s">
        <v>1079</v>
      </c>
    </row>
    <row r="1064" spans="1:5">
      <c r="A1064" t="s">
        <v>109</v>
      </c>
      <c r="B1064" s="8" t="s">
        <v>124</v>
      </c>
      <c r="C1064" t="s">
        <v>1022</v>
      </c>
      <c r="D1064" s="24" t="s">
        <v>43</v>
      </c>
      <c r="E1064" s="25" t="s">
        <v>1080</v>
      </c>
    </row>
    <row r="1065" spans="1:5" ht="17">
      <c r="E1065" s="22" t="s">
        <v>1081</v>
      </c>
    </row>
    <row r="1066" spans="1:5" ht="17">
      <c r="E1066" s="23" t="s">
        <v>1082</v>
      </c>
    </row>
    <row r="1067" spans="1:5">
      <c r="A1067" t="s">
        <v>134</v>
      </c>
      <c r="B1067" t="s">
        <v>135</v>
      </c>
      <c r="C1067" t="s">
        <v>1022</v>
      </c>
      <c r="D1067" s="24" t="s">
        <v>43</v>
      </c>
      <c r="E1067" s="25" t="s">
        <v>1083</v>
      </c>
    </row>
    <row r="1068" spans="1:5">
      <c r="A1068" t="s">
        <v>134</v>
      </c>
      <c r="B1068" t="s">
        <v>135</v>
      </c>
      <c r="C1068" t="s">
        <v>1022</v>
      </c>
      <c r="D1068" s="24" t="s">
        <v>43</v>
      </c>
      <c r="E1068" s="25" t="s">
        <v>1084</v>
      </c>
    </row>
    <row r="1069" spans="1:5">
      <c r="A1069" t="s">
        <v>134</v>
      </c>
      <c r="B1069" t="s">
        <v>135</v>
      </c>
      <c r="C1069" t="s">
        <v>1022</v>
      </c>
      <c r="D1069" s="24" t="s">
        <v>43</v>
      </c>
      <c r="E1069" s="25" t="s">
        <v>1085</v>
      </c>
    </row>
    <row r="1070" spans="1:5">
      <c r="A1070" t="s">
        <v>134</v>
      </c>
      <c r="B1070" t="s">
        <v>135</v>
      </c>
      <c r="C1070" t="s">
        <v>1022</v>
      </c>
      <c r="D1070" s="24" t="s">
        <v>43</v>
      </c>
      <c r="E1070" s="25" t="s">
        <v>1086</v>
      </c>
    </row>
    <row r="1071" spans="1:5">
      <c r="A1071" t="s">
        <v>134</v>
      </c>
      <c r="B1071" t="s">
        <v>135</v>
      </c>
      <c r="C1071" t="s">
        <v>1022</v>
      </c>
      <c r="D1071" s="24" t="s">
        <v>43</v>
      </c>
      <c r="E1071" s="25" t="s">
        <v>1087</v>
      </c>
    </row>
    <row r="1072" spans="1:5" ht="17">
      <c r="E1072" s="23" t="s">
        <v>1088</v>
      </c>
    </row>
    <row r="1073" spans="1:5">
      <c r="A1073" t="s">
        <v>134</v>
      </c>
      <c r="B1073" t="s">
        <v>144</v>
      </c>
      <c r="C1073" t="s">
        <v>1022</v>
      </c>
      <c r="D1073" s="24" t="s">
        <v>43</v>
      </c>
      <c r="E1073" s="25" t="s">
        <v>1089</v>
      </c>
    </row>
    <row r="1074" spans="1:5">
      <c r="A1074" t="s">
        <v>134</v>
      </c>
      <c r="B1074" t="s">
        <v>144</v>
      </c>
      <c r="C1074" t="s">
        <v>1022</v>
      </c>
      <c r="D1074" s="24" t="s">
        <v>43</v>
      </c>
      <c r="E1074" s="25" t="s">
        <v>1090</v>
      </c>
    </row>
    <row r="1075" spans="1:5">
      <c r="A1075" t="s">
        <v>134</v>
      </c>
      <c r="B1075" t="s">
        <v>144</v>
      </c>
      <c r="C1075" t="s">
        <v>1022</v>
      </c>
      <c r="D1075" s="24" t="s">
        <v>43</v>
      </c>
      <c r="E1075" s="25" t="s">
        <v>1091</v>
      </c>
    </row>
    <row r="1076" spans="1:5">
      <c r="A1076" t="s">
        <v>134</v>
      </c>
      <c r="B1076" t="s">
        <v>144</v>
      </c>
      <c r="C1076" t="s">
        <v>1022</v>
      </c>
      <c r="D1076" s="24" t="s">
        <v>43</v>
      </c>
      <c r="E1076" s="25" t="s">
        <v>1092</v>
      </c>
    </row>
    <row r="1077" spans="1:5" ht="17">
      <c r="E1077" s="23" t="s">
        <v>1093</v>
      </c>
    </row>
    <row r="1078" spans="1:5">
      <c r="A1078" t="s">
        <v>134</v>
      </c>
      <c r="B1078" t="s">
        <v>294</v>
      </c>
      <c r="C1078" t="s">
        <v>1022</v>
      </c>
      <c r="D1078" s="24" t="s">
        <v>43</v>
      </c>
      <c r="E1078" s="25" t="s">
        <v>1094</v>
      </c>
    </row>
    <row r="1079" spans="1:5">
      <c r="A1079" t="s">
        <v>134</v>
      </c>
      <c r="B1079" t="s">
        <v>294</v>
      </c>
      <c r="C1079" t="s">
        <v>1022</v>
      </c>
      <c r="D1079" s="24" t="s">
        <v>43</v>
      </c>
      <c r="E1079" s="25" t="s">
        <v>1095</v>
      </c>
    </row>
    <row r="1080" spans="1:5">
      <c r="A1080" t="s">
        <v>134</v>
      </c>
      <c r="B1080" t="s">
        <v>294</v>
      </c>
      <c r="C1080" t="s">
        <v>1022</v>
      </c>
      <c r="D1080" s="24" t="s">
        <v>43</v>
      </c>
      <c r="E1080" s="25" t="s">
        <v>1096</v>
      </c>
    </row>
    <row r="1081" spans="1:5">
      <c r="A1081" t="s">
        <v>134</v>
      </c>
      <c r="B1081" t="s">
        <v>294</v>
      </c>
      <c r="C1081" t="s">
        <v>1022</v>
      </c>
      <c r="D1081" s="24" t="s">
        <v>43</v>
      </c>
      <c r="E1081" s="25" t="s">
        <v>1097</v>
      </c>
    </row>
    <row r="1082" spans="1:5" ht="17">
      <c r="E1082" s="23" t="s">
        <v>1098</v>
      </c>
    </row>
    <row r="1083" spans="1:5">
      <c r="A1083" t="s">
        <v>134</v>
      </c>
      <c r="B1083" t="s">
        <v>149</v>
      </c>
      <c r="C1083" t="s">
        <v>1022</v>
      </c>
      <c r="D1083" s="24" t="s">
        <v>43</v>
      </c>
      <c r="E1083" s="25" t="s">
        <v>1099</v>
      </c>
    </row>
    <row r="1084" spans="1:5">
      <c r="A1084" t="s">
        <v>134</v>
      </c>
      <c r="B1084" t="s">
        <v>149</v>
      </c>
      <c r="C1084" t="s">
        <v>1022</v>
      </c>
      <c r="D1084" s="24" t="s">
        <v>43</v>
      </c>
      <c r="E1084" s="25" t="s">
        <v>1100</v>
      </c>
    </row>
    <row r="1085" spans="1:5">
      <c r="A1085" t="s">
        <v>134</v>
      </c>
      <c r="B1085" t="s">
        <v>149</v>
      </c>
      <c r="C1085" t="s">
        <v>1022</v>
      </c>
      <c r="D1085" s="24" t="s">
        <v>43</v>
      </c>
      <c r="E1085" s="25" t="s">
        <v>1101</v>
      </c>
    </row>
    <row r="1086" spans="1:5">
      <c r="A1086" t="s">
        <v>134</v>
      </c>
      <c r="B1086" t="s">
        <v>149</v>
      </c>
      <c r="C1086" t="s">
        <v>1022</v>
      </c>
      <c r="D1086" s="24" t="s">
        <v>43</v>
      </c>
      <c r="E1086" s="25" t="s">
        <v>1102</v>
      </c>
    </row>
    <row r="1087" spans="1:5">
      <c r="A1087" t="s">
        <v>134</v>
      </c>
      <c r="B1087" t="s">
        <v>149</v>
      </c>
      <c r="C1087" t="s">
        <v>1022</v>
      </c>
      <c r="D1087" s="24" t="s">
        <v>43</v>
      </c>
      <c r="E1087" s="25" t="s">
        <v>1103</v>
      </c>
    </row>
    <row r="1088" spans="1:5" ht="17">
      <c r="E1088" s="22" t="s">
        <v>1104</v>
      </c>
    </row>
    <row r="1089" spans="1:5">
      <c r="E1089" s="23" t="s">
        <v>307</v>
      </c>
    </row>
    <row r="1090" spans="1:5">
      <c r="A1090" t="s">
        <v>160</v>
      </c>
      <c r="B1090" t="s">
        <v>161</v>
      </c>
      <c r="C1090" t="s">
        <v>1022</v>
      </c>
      <c r="D1090" s="24" t="s">
        <v>43</v>
      </c>
      <c r="E1090" s="25" t="s">
        <v>1105</v>
      </c>
    </row>
    <row r="1091" spans="1:5">
      <c r="A1091" t="s">
        <v>160</v>
      </c>
      <c r="B1091" t="s">
        <v>161</v>
      </c>
      <c r="C1091" t="s">
        <v>1022</v>
      </c>
      <c r="D1091" s="24" t="s">
        <v>43</v>
      </c>
      <c r="E1091" s="25" t="s">
        <v>1106</v>
      </c>
    </row>
    <row r="1092" spans="1:5">
      <c r="A1092" t="s">
        <v>160</v>
      </c>
      <c r="B1092" t="s">
        <v>161</v>
      </c>
      <c r="C1092" t="s">
        <v>1022</v>
      </c>
      <c r="D1092" s="24" t="s">
        <v>43</v>
      </c>
      <c r="E1092" s="25" t="s">
        <v>1107</v>
      </c>
    </row>
    <row r="1093" spans="1:5">
      <c r="A1093" t="s">
        <v>160</v>
      </c>
      <c r="B1093" t="s">
        <v>161</v>
      </c>
      <c r="C1093" t="s">
        <v>1022</v>
      </c>
      <c r="D1093" s="24" t="s">
        <v>43</v>
      </c>
      <c r="E1093" s="25" t="s">
        <v>1108</v>
      </c>
    </row>
    <row r="1094" spans="1:5">
      <c r="A1094" t="s">
        <v>160</v>
      </c>
      <c r="B1094" t="s">
        <v>161</v>
      </c>
      <c r="C1094" t="s">
        <v>1022</v>
      </c>
      <c r="D1094" s="24" t="s">
        <v>43</v>
      </c>
      <c r="E1094" s="25" t="s">
        <v>1109</v>
      </c>
    </row>
    <row r="1095" spans="1:5">
      <c r="A1095" t="s">
        <v>160</v>
      </c>
      <c r="B1095" t="s">
        <v>161</v>
      </c>
      <c r="C1095" t="s">
        <v>1022</v>
      </c>
      <c r="D1095" s="24" t="s">
        <v>43</v>
      </c>
      <c r="E1095" s="25" t="s">
        <v>1110</v>
      </c>
    </row>
    <row r="1096" spans="1:5">
      <c r="E1096" s="23" t="s">
        <v>856</v>
      </c>
    </row>
    <row r="1097" spans="1:5">
      <c r="A1097" t="s">
        <v>160</v>
      </c>
      <c r="B1097" t="s">
        <v>165</v>
      </c>
      <c r="C1097" t="s">
        <v>1022</v>
      </c>
      <c r="D1097" s="24" t="s">
        <v>43</v>
      </c>
      <c r="E1097" s="25" t="s">
        <v>1111</v>
      </c>
    </row>
    <row r="1098" spans="1:5">
      <c r="A1098" t="s">
        <v>160</v>
      </c>
      <c r="B1098" t="s">
        <v>165</v>
      </c>
      <c r="C1098" t="s">
        <v>1022</v>
      </c>
      <c r="D1098" s="24" t="s">
        <v>43</v>
      </c>
      <c r="E1098" s="25" t="s">
        <v>1112</v>
      </c>
    </row>
    <row r="1099" spans="1:5">
      <c r="A1099" t="s">
        <v>160</v>
      </c>
      <c r="B1099" t="s">
        <v>165</v>
      </c>
      <c r="C1099" t="s">
        <v>1022</v>
      </c>
      <c r="D1099" s="24" t="s">
        <v>43</v>
      </c>
      <c r="E1099" s="25" t="s">
        <v>1113</v>
      </c>
    </row>
    <row r="1100" spans="1:5">
      <c r="A1100" t="s">
        <v>160</v>
      </c>
      <c r="B1100" t="s">
        <v>165</v>
      </c>
      <c r="C1100" t="s">
        <v>1022</v>
      </c>
      <c r="D1100" s="24" t="s">
        <v>43</v>
      </c>
      <c r="E1100" s="25" t="s">
        <v>1114</v>
      </c>
    </row>
    <row r="1101" spans="1:5">
      <c r="A1101" t="s">
        <v>160</v>
      </c>
      <c r="B1101" t="s">
        <v>165</v>
      </c>
      <c r="C1101" t="s">
        <v>1022</v>
      </c>
      <c r="D1101" s="24" t="s">
        <v>43</v>
      </c>
      <c r="E1101" s="25" t="s">
        <v>1115</v>
      </c>
    </row>
    <row r="1102" spans="1:5">
      <c r="A1102" t="s">
        <v>160</v>
      </c>
      <c r="B1102" t="s">
        <v>165</v>
      </c>
      <c r="C1102" t="s">
        <v>1022</v>
      </c>
      <c r="D1102" s="24" t="s">
        <v>43</v>
      </c>
      <c r="E1102" s="25" t="s">
        <v>1116</v>
      </c>
    </row>
    <row r="1103" spans="1:5">
      <c r="A1103" t="s">
        <v>160</v>
      </c>
      <c r="B1103" t="s">
        <v>165</v>
      </c>
      <c r="C1103" t="s">
        <v>1022</v>
      </c>
      <c r="D1103" s="24" t="s">
        <v>43</v>
      </c>
      <c r="E1103" s="25" t="s">
        <v>1117</v>
      </c>
    </row>
    <row r="1104" spans="1:5">
      <c r="A1104" t="s">
        <v>160</v>
      </c>
      <c r="B1104" t="s">
        <v>165</v>
      </c>
      <c r="C1104" t="s">
        <v>1022</v>
      </c>
      <c r="D1104" s="24" t="s">
        <v>43</v>
      </c>
      <c r="E1104" s="25" t="s">
        <v>1118</v>
      </c>
    </row>
    <row r="1105" spans="1:5">
      <c r="A1105" t="s">
        <v>160</v>
      </c>
      <c r="B1105" t="s">
        <v>165</v>
      </c>
      <c r="C1105" t="s">
        <v>1022</v>
      </c>
      <c r="D1105" s="24" t="s">
        <v>43</v>
      </c>
      <c r="E1105" s="25" t="s">
        <v>1119</v>
      </c>
    </row>
    <row r="1106" spans="1:5">
      <c r="A1106" t="s">
        <v>160</v>
      </c>
      <c r="B1106" t="s">
        <v>165</v>
      </c>
      <c r="C1106" t="s">
        <v>1022</v>
      </c>
      <c r="D1106" s="24" t="s">
        <v>43</v>
      </c>
      <c r="E1106" s="25" t="s">
        <v>1120</v>
      </c>
    </row>
    <row r="1107" spans="1:5">
      <c r="A1107" t="s">
        <v>160</v>
      </c>
      <c r="B1107" t="s">
        <v>165</v>
      </c>
      <c r="C1107" t="s">
        <v>1022</v>
      </c>
      <c r="D1107" s="24" t="s">
        <v>43</v>
      </c>
      <c r="E1107" s="25" t="s">
        <v>1121</v>
      </c>
    </row>
    <row r="1108" spans="1:5" ht="19.5">
      <c r="E1108" s="21" t="s">
        <v>1122</v>
      </c>
    </row>
    <row r="1109" spans="1:5" ht="17">
      <c r="E1109" s="22" t="s">
        <v>222</v>
      </c>
    </row>
    <row r="1110" spans="1:5">
      <c r="A1110" t="s">
        <v>91</v>
      </c>
      <c r="B1110" t="s">
        <v>91</v>
      </c>
      <c r="C1110" t="s">
        <v>1123</v>
      </c>
      <c r="D1110" s="24" t="s">
        <v>43</v>
      </c>
      <c r="E1110" s="30" t="s">
        <v>1124</v>
      </c>
    </row>
    <row r="1111" spans="1:5">
      <c r="A1111" t="s">
        <v>91</v>
      </c>
      <c r="B1111" t="s">
        <v>91</v>
      </c>
      <c r="C1111" t="s">
        <v>1123</v>
      </c>
      <c r="D1111" s="24" t="s">
        <v>43</v>
      </c>
      <c r="E1111" s="30" t="s">
        <v>1125</v>
      </c>
    </row>
    <row r="1112" spans="1:5">
      <c r="E1112" s="29" t="s">
        <v>654</v>
      </c>
    </row>
    <row r="1113" spans="1:5">
      <c r="A1113" t="s">
        <v>91</v>
      </c>
      <c r="B1113" t="s">
        <v>91</v>
      </c>
      <c r="C1113" t="s">
        <v>1123</v>
      </c>
      <c r="D1113" s="24" t="s">
        <v>43</v>
      </c>
      <c r="E1113" s="25" t="s">
        <v>1126</v>
      </c>
    </row>
    <row r="1114" spans="1:5">
      <c r="E1114" s="29" t="s">
        <v>1127</v>
      </c>
    </row>
    <row r="1115" spans="1:5">
      <c r="A1115" t="s">
        <v>91</v>
      </c>
      <c r="B1115" t="s">
        <v>91</v>
      </c>
      <c r="C1115" t="s">
        <v>1123</v>
      </c>
      <c r="D1115" s="24" t="s">
        <v>43</v>
      </c>
      <c r="E1115" s="30" t="s">
        <v>1128</v>
      </c>
    </row>
    <row r="1116" spans="1:5">
      <c r="A1116" t="s">
        <v>91</v>
      </c>
      <c r="B1116" t="s">
        <v>91</v>
      </c>
      <c r="C1116" t="s">
        <v>1123</v>
      </c>
      <c r="D1116" s="24" t="s">
        <v>43</v>
      </c>
      <c r="E1116" s="25" t="s">
        <v>1129</v>
      </c>
    </row>
    <row r="1117" spans="1:5">
      <c r="A1117" t="s">
        <v>91</v>
      </c>
      <c r="B1117" t="s">
        <v>91</v>
      </c>
      <c r="C1117" t="s">
        <v>1123</v>
      </c>
      <c r="D1117" s="24" t="s">
        <v>43</v>
      </c>
      <c r="E1117" s="25" t="s">
        <v>1130</v>
      </c>
    </row>
    <row r="1118" spans="1:5" ht="17">
      <c r="E1118" s="22" t="s">
        <v>665</v>
      </c>
    </row>
    <row r="1119" spans="1:5">
      <c r="A1119" t="s">
        <v>105</v>
      </c>
      <c r="B1119" t="s">
        <v>105</v>
      </c>
      <c r="C1119" t="s">
        <v>1123</v>
      </c>
      <c r="D1119" s="24" t="s">
        <v>43</v>
      </c>
      <c r="E1119" s="25" t="s">
        <v>1131</v>
      </c>
    </row>
    <row r="1120" spans="1:5">
      <c r="A1120" t="s">
        <v>105</v>
      </c>
      <c r="B1120" t="s">
        <v>105</v>
      </c>
      <c r="C1120" t="s">
        <v>1123</v>
      </c>
      <c r="D1120" s="24" t="s">
        <v>43</v>
      </c>
      <c r="E1120" s="25" t="s">
        <v>1132</v>
      </c>
    </row>
    <row r="1121" spans="1:5">
      <c r="A1121" t="s">
        <v>105</v>
      </c>
      <c r="B1121" t="s">
        <v>105</v>
      </c>
      <c r="C1121" t="s">
        <v>1123</v>
      </c>
      <c r="D1121" s="24" t="s">
        <v>43</v>
      </c>
      <c r="E1121" s="25" t="s">
        <v>1133</v>
      </c>
    </row>
    <row r="1122" spans="1:5">
      <c r="A1122" t="s">
        <v>105</v>
      </c>
      <c r="B1122" t="s">
        <v>105</v>
      </c>
      <c r="C1122" t="s">
        <v>1123</v>
      </c>
      <c r="D1122" s="24" t="s">
        <v>43</v>
      </c>
      <c r="E1122" s="25" t="s">
        <v>1134</v>
      </c>
    </row>
    <row r="1123" spans="1:5">
      <c r="A1123" t="s">
        <v>105</v>
      </c>
      <c r="B1123" t="s">
        <v>105</v>
      </c>
      <c r="C1123" t="s">
        <v>1123</v>
      </c>
      <c r="D1123" s="24" t="s">
        <v>43</v>
      </c>
      <c r="E1123" s="25" t="s">
        <v>1135</v>
      </c>
    </row>
    <row r="1124" spans="1:5">
      <c r="A1124" t="s">
        <v>105</v>
      </c>
      <c r="B1124" t="s">
        <v>105</v>
      </c>
      <c r="C1124" t="s">
        <v>1123</v>
      </c>
      <c r="D1124" s="24" t="s">
        <v>43</v>
      </c>
      <c r="E1124" s="25" t="s">
        <v>1136</v>
      </c>
    </row>
    <row r="1125" spans="1:5">
      <c r="A1125" t="s">
        <v>105</v>
      </c>
      <c r="B1125" t="s">
        <v>105</v>
      </c>
      <c r="C1125" t="s">
        <v>1123</v>
      </c>
      <c r="D1125" s="24" t="s">
        <v>43</v>
      </c>
      <c r="E1125" s="25" t="s">
        <v>1137</v>
      </c>
    </row>
    <row r="1126" spans="1:5">
      <c r="A1126" t="s">
        <v>105</v>
      </c>
      <c r="B1126" t="s">
        <v>105</v>
      </c>
      <c r="C1126" t="s">
        <v>1123</v>
      </c>
      <c r="D1126" s="24" t="s">
        <v>43</v>
      </c>
      <c r="E1126" s="25" t="s">
        <v>1138</v>
      </c>
    </row>
    <row r="1127" spans="1:5">
      <c r="A1127" t="s">
        <v>105</v>
      </c>
      <c r="B1127" t="s">
        <v>105</v>
      </c>
      <c r="C1127" t="s">
        <v>1123</v>
      </c>
      <c r="D1127" s="24" t="s">
        <v>43</v>
      </c>
      <c r="E1127" s="25" t="s">
        <v>1139</v>
      </c>
    </row>
    <row r="1128" spans="1:5">
      <c r="A1128" t="s">
        <v>105</v>
      </c>
      <c r="B1128" t="s">
        <v>105</v>
      </c>
      <c r="C1128" t="s">
        <v>1123</v>
      </c>
      <c r="D1128" s="24" t="s">
        <v>43</v>
      </c>
      <c r="E1128" s="25" t="s">
        <v>1140</v>
      </c>
    </row>
    <row r="1129" spans="1:5">
      <c r="A1129" t="s">
        <v>105</v>
      </c>
      <c r="B1129" t="s">
        <v>105</v>
      </c>
      <c r="C1129" t="s">
        <v>1123</v>
      </c>
      <c r="D1129" s="24" t="s">
        <v>43</v>
      </c>
      <c r="E1129" s="25" t="s">
        <v>1141</v>
      </c>
    </row>
    <row r="1130" spans="1:5" ht="17">
      <c r="E1130" s="22" t="s">
        <v>1142</v>
      </c>
    </row>
    <row r="1131" spans="1:5">
      <c r="E1131" s="23" t="s">
        <v>1143</v>
      </c>
    </row>
    <row r="1132" spans="1:5">
      <c r="A1132" t="s">
        <v>109</v>
      </c>
      <c r="B1132" t="s">
        <v>110</v>
      </c>
      <c r="C1132" t="s">
        <v>1123</v>
      </c>
      <c r="D1132" s="24" t="s">
        <v>43</v>
      </c>
      <c r="E1132" s="25" t="s">
        <v>1144</v>
      </c>
    </row>
    <row r="1133" spans="1:5">
      <c r="A1133" t="s">
        <v>109</v>
      </c>
      <c r="B1133" t="s">
        <v>110</v>
      </c>
      <c r="C1133" t="s">
        <v>1123</v>
      </c>
      <c r="D1133" s="24" t="s">
        <v>43</v>
      </c>
      <c r="E1133" s="25" t="s">
        <v>1145</v>
      </c>
    </row>
    <row r="1134" spans="1:5">
      <c r="A1134" t="s">
        <v>109</v>
      </c>
      <c r="B1134" t="s">
        <v>110</v>
      </c>
      <c r="C1134" t="s">
        <v>1123</v>
      </c>
      <c r="D1134" s="24" t="s">
        <v>43</v>
      </c>
      <c r="E1134" s="25" t="s">
        <v>1146</v>
      </c>
    </row>
    <row r="1135" spans="1:5">
      <c r="A1135" t="s">
        <v>109</v>
      </c>
      <c r="B1135" t="s">
        <v>110</v>
      </c>
      <c r="C1135" t="s">
        <v>1123</v>
      </c>
      <c r="D1135" s="24" t="s">
        <v>43</v>
      </c>
      <c r="E1135" s="25" t="s">
        <v>1147</v>
      </c>
    </row>
    <row r="1136" spans="1:5">
      <c r="A1136" t="s">
        <v>109</v>
      </c>
      <c r="B1136" t="s">
        <v>110</v>
      </c>
      <c r="C1136" t="s">
        <v>1123</v>
      </c>
      <c r="D1136" s="24" t="s">
        <v>43</v>
      </c>
      <c r="E1136" s="25" t="s">
        <v>1148</v>
      </c>
    </row>
    <row r="1137" spans="1:5">
      <c r="A1137" t="s">
        <v>109</v>
      </c>
      <c r="B1137" t="s">
        <v>110</v>
      </c>
      <c r="C1137" t="s">
        <v>1123</v>
      </c>
      <c r="D1137" s="24" t="s">
        <v>43</v>
      </c>
      <c r="E1137" s="25" t="s">
        <v>1149</v>
      </c>
    </row>
    <row r="1138" spans="1:5">
      <c r="A1138" t="s">
        <v>109</v>
      </c>
      <c r="B1138" t="s">
        <v>110</v>
      </c>
      <c r="C1138" t="s">
        <v>1123</v>
      </c>
      <c r="D1138" s="24" t="s">
        <v>43</v>
      </c>
      <c r="E1138" s="25" t="s">
        <v>1150</v>
      </c>
    </row>
    <row r="1139" spans="1:5">
      <c r="A1139" t="s">
        <v>109</v>
      </c>
      <c r="B1139" t="s">
        <v>110</v>
      </c>
      <c r="C1139" t="s">
        <v>1123</v>
      </c>
      <c r="D1139" s="24" t="s">
        <v>43</v>
      </c>
      <c r="E1139" s="25" t="s">
        <v>1151</v>
      </c>
    </row>
    <row r="1140" spans="1:5">
      <c r="A1140" t="s">
        <v>109</v>
      </c>
      <c r="B1140" t="s">
        <v>110</v>
      </c>
      <c r="C1140" t="s">
        <v>1123</v>
      </c>
      <c r="D1140" s="24" t="s">
        <v>43</v>
      </c>
      <c r="E1140" s="25" t="s">
        <v>1152</v>
      </c>
    </row>
    <row r="1141" spans="1:5">
      <c r="A1141" t="s">
        <v>109</v>
      </c>
      <c r="B1141" t="s">
        <v>110</v>
      </c>
      <c r="C1141" t="s">
        <v>1123</v>
      </c>
      <c r="D1141" s="24" t="s">
        <v>43</v>
      </c>
      <c r="E1141" s="25" t="s">
        <v>1153</v>
      </c>
    </row>
    <row r="1142" spans="1:5">
      <c r="A1142" t="s">
        <v>109</v>
      </c>
      <c r="B1142" t="s">
        <v>110</v>
      </c>
      <c r="C1142" t="s">
        <v>1123</v>
      </c>
      <c r="D1142" s="24" t="s">
        <v>43</v>
      </c>
      <c r="E1142" s="25" t="s">
        <v>1154</v>
      </c>
    </row>
    <row r="1143" spans="1:5">
      <c r="A1143" t="s">
        <v>109</v>
      </c>
      <c r="B1143" t="s">
        <v>110</v>
      </c>
      <c r="C1143" t="s">
        <v>1123</v>
      </c>
      <c r="D1143" s="24" t="s">
        <v>43</v>
      </c>
      <c r="E1143" s="25" t="s">
        <v>1155</v>
      </c>
    </row>
    <row r="1144" spans="1:5">
      <c r="A1144" t="s">
        <v>109</v>
      </c>
      <c r="B1144" t="s">
        <v>110</v>
      </c>
      <c r="C1144" t="s">
        <v>1123</v>
      </c>
      <c r="D1144" s="24" t="s">
        <v>43</v>
      </c>
      <c r="E1144" s="25" t="s">
        <v>1156</v>
      </c>
    </row>
    <row r="1145" spans="1:5">
      <c r="E1145" s="23" t="s">
        <v>1157</v>
      </c>
    </row>
    <row r="1146" spans="1:5">
      <c r="A1146" t="s">
        <v>109</v>
      </c>
      <c r="B1146" t="s">
        <v>118</v>
      </c>
      <c r="C1146" t="s">
        <v>1123</v>
      </c>
      <c r="D1146" s="24" t="s">
        <v>43</v>
      </c>
      <c r="E1146" s="25" t="s">
        <v>1158</v>
      </c>
    </row>
    <row r="1147" spans="1:5">
      <c r="A1147" t="s">
        <v>109</v>
      </c>
      <c r="B1147" t="s">
        <v>118</v>
      </c>
      <c r="C1147" t="s">
        <v>1123</v>
      </c>
      <c r="D1147" s="24" t="s">
        <v>43</v>
      </c>
      <c r="E1147" s="25" t="s">
        <v>1159</v>
      </c>
    </row>
    <row r="1148" spans="1:5">
      <c r="A1148" t="s">
        <v>109</v>
      </c>
      <c r="B1148" t="s">
        <v>118</v>
      </c>
      <c r="C1148" t="s">
        <v>1123</v>
      </c>
      <c r="D1148" s="24" t="s">
        <v>43</v>
      </c>
      <c r="E1148" s="25" t="s">
        <v>1160</v>
      </c>
    </row>
    <row r="1149" spans="1:5">
      <c r="A1149" t="s">
        <v>109</v>
      </c>
      <c r="B1149" t="s">
        <v>118</v>
      </c>
      <c r="C1149" t="s">
        <v>1123</v>
      </c>
      <c r="D1149" s="24" t="s">
        <v>43</v>
      </c>
      <c r="E1149" s="25" t="s">
        <v>1161</v>
      </c>
    </row>
    <row r="1150" spans="1:5">
      <c r="A1150" t="s">
        <v>109</v>
      </c>
      <c r="B1150" t="s">
        <v>118</v>
      </c>
      <c r="C1150" t="s">
        <v>1123</v>
      </c>
      <c r="D1150" s="24" t="s">
        <v>43</v>
      </c>
      <c r="E1150" s="25" t="s">
        <v>1162</v>
      </c>
    </row>
    <row r="1151" spans="1:5">
      <c r="A1151" t="s">
        <v>109</v>
      </c>
      <c r="B1151" t="s">
        <v>118</v>
      </c>
      <c r="C1151" t="s">
        <v>1123</v>
      </c>
      <c r="D1151" s="24" t="s">
        <v>43</v>
      </c>
      <c r="E1151" s="25" t="s">
        <v>1163</v>
      </c>
    </row>
    <row r="1152" spans="1:5">
      <c r="A1152" t="s">
        <v>109</v>
      </c>
      <c r="B1152" t="s">
        <v>118</v>
      </c>
      <c r="C1152" t="s">
        <v>1123</v>
      </c>
      <c r="D1152" s="24" t="s">
        <v>43</v>
      </c>
      <c r="E1152" s="25" t="s">
        <v>1164</v>
      </c>
    </row>
    <row r="1153" spans="1:5">
      <c r="A1153" t="s">
        <v>109</v>
      </c>
      <c r="B1153" t="s">
        <v>118</v>
      </c>
      <c r="C1153" t="s">
        <v>1123</v>
      </c>
      <c r="D1153" s="24" t="s">
        <v>43</v>
      </c>
      <c r="E1153" s="25" t="s">
        <v>1165</v>
      </c>
    </row>
    <row r="1154" spans="1:5">
      <c r="A1154" t="s">
        <v>109</v>
      </c>
      <c r="B1154" t="s">
        <v>118</v>
      </c>
      <c r="C1154" t="s">
        <v>1123</v>
      </c>
      <c r="D1154" s="24" t="s">
        <v>43</v>
      </c>
      <c r="E1154" s="25" t="s">
        <v>1166</v>
      </c>
    </row>
    <row r="1155" spans="1:5">
      <c r="E1155" s="23" t="s">
        <v>1167</v>
      </c>
    </row>
    <row r="1156" spans="1:5">
      <c r="A1156" t="s">
        <v>109</v>
      </c>
      <c r="B1156" s="8" t="s">
        <v>124</v>
      </c>
      <c r="C1156" t="s">
        <v>1123</v>
      </c>
      <c r="D1156" s="24" t="s">
        <v>43</v>
      </c>
      <c r="E1156" s="25" t="s">
        <v>1168</v>
      </c>
    </row>
    <row r="1157" spans="1:5">
      <c r="A1157" t="s">
        <v>109</v>
      </c>
      <c r="B1157" s="8" t="s">
        <v>124</v>
      </c>
      <c r="C1157" t="s">
        <v>1123</v>
      </c>
      <c r="D1157" s="24" t="s">
        <v>43</v>
      </c>
      <c r="E1157" s="25" t="s">
        <v>1169</v>
      </c>
    </row>
    <row r="1158" spans="1:5">
      <c r="A1158" t="s">
        <v>109</v>
      </c>
      <c r="B1158" s="8" t="s">
        <v>124</v>
      </c>
      <c r="C1158" t="s">
        <v>1123</v>
      </c>
      <c r="D1158" s="24" t="s">
        <v>43</v>
      </c>
      <c r="E1158" s="25" t="s">
        <v>1170</v>
      </c>
    </row>
    <row r="1159" spans="1:5">
      <c r="A1159" t="s">
        <v>109</v>
      </c>
      <c r="B1159" s="8" t="s">
        <v>124</v>
      </c>
      <c r="C1159" t="s">
        <v>1123</v>
      </c>
      <c r="D1159" s="24" t="s">
        <v>43</v>
      </c>
      <c r="E1159" s="25" t="s">
        <v>1171</v>
      </c>
    </row>
    <row r="1160" spans="1:5">
      <c r="A1160" t="s">
        <v>109</v>
      </c>
      <c r="B1160" s="8" t="s">
        <v>124</v>
      </c>
      <c r="C1160" t="s">
        <v>1123</v>
      </c>
      <c r="D1160" s="24" t="s">
        <v>43</v>
      </c>
      <c r="E1160" s="25" t="s">
        <v>1172</v>
      </c>
    </row>
    <row r="1161" spans="1:5">
      <c r="A1161" t="s">
        <v>109</v>
      </c>
      <c r="B1161" s="8" t="s">
        <v>124</v>
      </c>
      <c r="C1161" t="s">
        <v>1123</v>
      </c>
      <c r="D1161" s="24" t="s">
        <v>43</v>
      </c>
      <c r="E1161" s="25" t="s">
        <v>1173</v>
      </c>
    </row>
    <row r="1162" spans="1:5">
      <c r="A1162" t="s">
        <v>109</v>
      </c>
      <c r="B1162" s="8" t="s">
        <v>124</v>
      </c>
      <c r="C1162" t="s">
        <v>1123</v>
      </c>
      <c r="D1162" s="24" t="s">
        <v>43</v>
      </c>
      <c r="E1162" s="25" t="s">
        <v>1174</v>
      </c>
    </row>
    <row r="1163" spans="1:5">
      <c r="A1163" t="s">
        <v>109</v>
      </c>
      <c r="B1163" s="8" t="s">
        <v>124</v>
      </c>
      <c r="C1163" t="s">
        <v>1123</v>
      </c>
      <c r="D1163" s="24" t="s">
        <v>43</v>
      </c>
      <c r="E1163" s="25" t="s">
        <v>1175</v>
      </c>
    </row>
    <row r="1164" spans="1:5">
      <c r="A1164" t="s">
        <v>109</v>
      </c>
      <c r="B1164" s="8" t="s">
        <v>124</v>
      </c>
      <c r="C1164" t="s">
        <v>1123</v>
      </c>
      <c r="D1164" s="24" t="s">
        <v>43</v>
      </c>
      <c r="E1164" s="25" t="s">
        <v>1176</v>
      </c>
    </row>
    <row r="1165" spans="1:5">
      <c r="A1165" t="s">
        <v>109</v>
      </c>
      <c r="B1165" s="8" t="s">
        <v>124</v>
      </c>
      <c r="C1165" t="s">
        <v>1123</v>
      </c>
      <c r="D1165" s="24" t="s">
        <v>43</v>
      </c>
      <c r="E1165" s="25" t="s">
        <v>1177</v>
      </c>
    </row>
    <row r="1166" spans="1:5">
      <c r="A1166" t="s">
        <v>109</v>
      </c>
      <c r="B1166" s="8" t="s">
        <v>124</v>
      </c>
      <c r="C1166" t="s">
        <v>1123</v>
      </c>
      <c r="D1166" s="24" t="s">
        <v>43</v>
      </c>
      <c r="E1166" s="25" t="s">
        <v>1178</v>
      </c>
    </row>
    <row r="1167" spans="1:5">
      <c r="A1167" t="s">
        <v>109</v>
      </c>
      <c r="B1167" s="8" t="s">
        <v>124</v>
      </c>
      <c r="C1167" t="s">
        <v>1123</v>
      </c>
      <c r="D1167" s="24" t="s">
        <v>43</v>
      </c>
      <c r="E1167" s="25" t="s">
        <v>1179</v>
      </c>
    </row>
    <row r="1168" spans="1:5">
      <c r="A1168" t="s">
        <v>109</v>
      </c>
      <c r="B1168" s="8" t="s">
        <v>124</v>
      </c>
      <c r="C1168" t="s">
        <v>1123</v>
      </c>
      <c r="D1168" s="24" t="s">
        <v>43</v>
      </c>
      <c r="E1168" s="25" t="s">
        <v>1180</v>
      </c>
    </row>
    <row r="1169" spans="1:5">
      <c r="A1169" t="s">
        <v>109</v>
      </c>
      <c r="B1169" s="8" t="s">
        <v>124</v>
      </c>
      <c r="C1169" t="s">
        <v>1123</v>
      </c>
      <c r="D1169" s="24" t="s">
        <v>43</v>
      </c>
      <c r="E1169" s="25" t="s">
        <v>1181</v>
      </c>
    </row>
    <row r="1170" spans="1:5">
      <c r="A1170" t="s">
        <v>109</v>
      </c>
      <c r="B1170" s="8" t="s">
        <v>124</v>
      </c>
      <c r="C1170" t="s">
        <v>1123</v>
      </c>
      <c r="D1170" s="24" t="s">
        <v>43</v>
      </c>
      <c r="E1170" s="25" t="s">
        <v>1182</v>
      </c>
    </row>
    <row r="1171" spans="1:5">
      <c r="A1171" t="s">
        <v>109</v>
      </c>
      <c r="B1171" s="8" t="s">
        <v>124</v>
      </c>
      <c r="C1171" t="s">
        <v>1123</v>
      </c>
      <c r="D1171" s="24" t="s">
        <v>43</v>
      </c>
      <c r="E1171" s="25" t="s">
        <v>1183</v>
      </c>
    </row>
    <row r="1172" spans="1:5">
      <c r="A1172" t="s">
        <v>109</v>
      </c>
      <c r="B1172" s="8" t="s">
        <v>124</v>
      </c>
      <c r="C1172" t="s">
        <v>1123</v>
      </c>
      <c r="D1172" s="24" t="s">
        <v>43</v>
      </c>
      <c r="E1172" s="25" t="s">
        <v>1184</v>
      </c>
    </row>
    <row r="1173" spans="1:5">
      <c r="A1173" t="s">
        <v>109</v>
      </c>
      <c r="B1173" s="8" t="s">
        <v>124</v>
      </c>
      <c r="C1173" t="s">
        <v>1123</v>
      </c>
      <c r="D1173" s="24" t="s">
        <v>43</v>
      </c>
      <c r="E1173" s="25" t="s">
        <v>1185</v>
      </c>
    </row>
    <row r="1174" spans="1:5" ht="17">
      <c r="E1174" s="22" t="s">
        <v>908</v>
      </c>
    </row>
    <row r="1175" spans="1:5">
      <c r="E1175" s="23" t="s">
        <v>1186</v>
      </c>
    </row>
    <row r="1176" spans="1:5">
      <c r="A1176" t="s">
        <v>134</v>
      </c>
      <c r="B1176" t="s">
        <v>135</v>
      </c>
      <c r="C1176" t="s">
        <v>1123</v>
      </c>
      <c r="D1176" s="24" t="s">
        <v>43</v>
      </c>
      <c r="E1176" s="25" t="s">
        <v>1187</v>
      </c>
    </row>
    <row r="1177" spans="1:5">
      <c r="A1177" t="s">
        <v>134</v>
      </c>
      <c r="B1177" t="s">
        <v>135</v>
      </c>
      <c r="C1177" t="s">
        <v>1123</v>
      </c>
      <c r="D1177" s="24" t="s">
        <v>43</v>
      </c>
      <c r="E1177" s="25" t="s">
        <v>1188</v>
      </c>
    </row>
    <row r="1178" spans="1:5">
      <c r="E1178" s="23" t="s">
        <v>1189</v>
      </c>
    </row>
    <row r="1179" spans="1:5">
      <c r="A1179" t="s">
        <v>134</v>
      </c>
      <c r="B1179" t="s">
        <v>144</v>
      </c>
      <c r="C1179" t="s">
        <v>1123</v>
      </c>
      <c r="D1179" s="24" t="s">
        <v>43</v>
      </c>
      <c r="E1179" s="25" t="s">
        <v>1190</v>
      </c>
    </row>
    <row r="1180" spans="1:5">
      <c r="A1180" t="s">
        <v>134</v>
      </c>
      <c r="B1180" t="s">
        <v>144</v>
      </c>
      <c r="C1180" t="s">
        <v>1123</v>
      </c>
      <c r="D1180" s="24" t="s">
        <v>43</v>
      </c>
      <c r="E1180" s="25" t="s">
        <v>1191</v>
      </c>
    </row>
    <row r="1181" spans="1:5">
      <c r="A1181" t="s">
        <v>134</v>
      </c>
      <c r="B1181" t="s">
        <v>144</v>
      </c>
      <c r="C1181" t="s">
        <v>1123</v>
      </c>
      <c r="D1181" s="24" t="s">
        <v>43</v>
      </c>
      <c r="E1181" s="25" t="s">
        <v>1192</v>
      </c>
    </row>
    <row r="1182" spans="1:5">
      <c r="A1182" t="s">
        <v>134</v>
      </c>
      <c r="B1182" t="s">
        <v>144</v>
      </c>
      <c r="C1182" t="s">
        <v>1123</v>
      </c>
      <c r="D1182" s="24" t="s">
        <v>43</v>
      </c>
      <c r="E1182" s="25" t="s">
        <v>1193</v>
      </c>
    </row>
    <row r="1183" spans="1:5">
      <c r="E1183" s="23" t="s">
        <v>1194</v>
      </c>
    </row>
    <row r="1184" spans="1:5">
      <c r="A1184" t="s">
        <v>134</v>
      </c>
      <c r="B1184" t="s">
        <v>294</v>
      </c>
      <c r="C1184" t="s">
        <v>1123</v>
      </c>
      <c r="D1184" s="24" t="s">
        <v>43</v>
      </c>
      <c r="E1184" s="25" t="s">
        <v>1195</v>
      </c>
    </row>
    <row r="1185" spans="1:5">
      <c r="A1185" t="s">
        <v>134</v>
      </c>
      <c r="B1185" t="s">
        <v>294</v>
      </c>
      <c r="C1185" t="s">
        <v>1123</v>
      </c>
      <c r="D1185" s="24" t="s">
        <v>43</v>
      </c>
      <c r="E1185" s="25" t="s">
        <v>1196</v>
      </c>
    </row>
    <row r="1186" spans="1:5">
      <c r="A1186" t="s">
        <v>134</v>
      </c>
      <c r="B1186" t="s">
        <v>294</v>
      </c>
      <c r="C1186" t="s">
        <v>1123</v>
      </c>
      <c r="D1186" s="24" t="s">
        <v>43</v>
      </c>
      <c r="E1186" s="25" t="s">
        <v>1197</v>
      </c>
    </row>
    <row r="1187" spans="1:5">
      <c r="E1187" s="23" t="s">
        <v>1198</v>
      </c>
    </row>
    <row r="1188" spans="1:5">
      <c r="A1188" t="s">
        <v>134</v>
      </c>
      <c r="B1188" t="s">
        <v>149</v>
      </c>
      <c r="C1188" t="s">
        <v>1123</v>
      </c>
      <c r="D1188" s="24" t="s">
        <v>43</v>
      </c>
      <c r="E1188" s="25" t="s">
        <v>1199</v>
      </c>
    </row>
    <row r="1189" spans="1:5">
      <c r="A1189" t="s">
        <v>134</v>
      </c>
      <c r="B1189" t="s">
        <v>149</v>
      </c>
      <c r="C1189" t="s">
        <v>1123</v>
      </c>
      <c r="D1189" s="24" t="s">
        <v>43</v>
      </c>
      <c r="E1189" s="25" t="s">
        <v>1200</v>
      </c>
    </row>
    <row r="1190" spans="1:5">
      <c r="A1190" t="s">
        <v>134</v>
      </c>
      <c r="B1190" t="s">
        <v>149</v>
      </c>
      <c r="C1190" t="s">
        <v>1123</v>
      </c>
      <c r="D1190" s="24" t="s">
        <v>43</v>
      </c>
      <c r="E1190" s="25" t="s">
        <v>1201</v>
      </c>
    </row>
    <row r="1191" spans="1:5" ht="17">
      <c r="E1191" s="22" t="s">
        <v>1202</v>
      </c>
    </row>
    <row r="1192" spans="1:5">
      <c r="E1192" s="23" t="s">
        <v>307</v>
      </c>
    </row>
    <row r="1193" spans="1:5">
      <c r="A1193" t="s">
        <v>160</v>
      </c>
      <c r="B1193" t="s">
        <v>161</v>
      </c>
      <c r="C1193" t="s">
        <v>1123</v>
      </c>
      <c r="D1193" s="24" t="s">
        <v>43</v>
      </c>
      <c r="E1193" s="25" t="s">
        <v>1203</v>
      </c>
    </row>
    <row r="1194" spans="1:5">
      <c r="A1194" t="s">
        <v>160</v>
      </c>
      <c r="B1194" t="s">
        <v>161</v>
      </c>
      <c r="C1194" t="s">
        <v>1123</v>
      </c>
      <c r="D1194" s="24" t="s">
        <v>43</v>
      </c>
      <c r="E1194" s="25" t="s">
        <v>1204</v>
      </c>
    </row>
    <row r="1195" spans="1:5">
      <c r="A1195" t="s">
        <v>160</v>
      </c>
      <c r="B1195" t="s">
        <v>161</v>
      </c>
      <c r="C1195" t="s">
        <v>1123</v>
      </c>
      <c r="D1195" s="24" t="s">
        <v>43</v>
      </c>
      <c r="E1195" s="25" t="s">
        <v>1205</v>
      </c>
    </row>
    <row r="1196" spans="1:5">
      <c r="A1196" t="s">
        <v>160</v>
      </c>
      <c r="B1196" t="s">
        <v>161</v>
      </c>
      <c r="C1196" t="s">
        <v>1123</v>
      </c>
      <c r="D1196" s="24" t="s">
        <v>43</v>
      </c>
      <c r="E1196" s="25" t="s">
        <v>1206</v>
      </c>
    </row>
    <row r="1197" spans="1:5">
      <c r="A1197" t="s">
        <v>160</v>
      </c>
      <c r="B1197" t="s">
        <v>161</v>
      </c>
      <c r="C1197" t="s">
        <v>1123</v>
      </c>
      <c r="D1197" s="24" t="s">
        <v>43</v>
      </c>
      <c r="E1197" s="25" t="s">
        <v>1207</v>
      </c>
    </row>
    <row r="1198" spans="1:5">
      <c r="A1198" t="s">
        <v>160</v>
      </c>
      <c r="B1198" t="s">
        <v>161</v>
      </c>
      <c r="C1198" t="s">
        <v>1123</v>
      </c>
      <c r="D1198" s="24" t="s">
        <v>43</v>
      </c>
      <c r="E1198" s="25" t="s">
        <v>1208</v>
      </c>
    </row>
    <row r="1199" spans="1:5">
      <c r="E1199" s="23" t="s">
        <v>1209</v>
      </c>
    </row>
    <row r="1200" spans="1:5">
      <c r="A1200" t="s">
        <v>160</v>
      </c>
      <c r="B1200" t="s">
        <v>165</v>
      </c>
      <c r="C1200" t="s">
        <v>1123</v>
      </c>
      <c r="D1200" s="24" t="s">
        <v>43</v>
      </c>
      <c r="E1200" s="25" t="s">
        <v>1210</v>
      </c>
    </row>
    <row r="1201" spans="1:5">
      <c r="A1201" t="s">
        <v>160</v>
      </c>
      <c r="B1201" t="s">
        <v>165</v>
      </c>
      <c r="C1201" t="s">
        <v>1123</v>
      </c>
      <c r="D1201" s="24" t="s">
        <v>43</v>
      </c>
      <c r="E1201" s="25" t="s">
        <v>1211</v>
      </c>
    </row>
    <row r="1202" spans="1:5">
      <c r="A1202" t="s">
        <v>160</v>
      </c>
      <c r="B1202" t="s">
        <v>165</v>
      </c>
      <c r="C1202" t="s">
        <v>1123</v>
      </c>
      <c r="D1202" s="24" t="s">
        <v>43</v>
      </c>
      <c r="E1202" s="25" t="s">
        <v>1212</v>
      </c>
    </row>
    <row r="1203" spans="1:5">
      <c r="A1203" t="s">
        <v>160</v>
      </c>
      <c r="B1203" t="s">
        <v>165</v>
      </c>
      <c r="C1203" t="s">
        <v>1123</v>
      </c>
      <c r="D1203" s="24" t="s">
        <v>43</v>
      </c>
      <c r="E1203" s="25" t="s">
        <v>1213</v>
      </c>
    </row>
    <row r="1204" spans="1:5">
      <c r="A1204" t="s">
        <v>160</v>
      </c>
      <c r="B1204" t="s">
        <v>165</v>
      </c>
      <c r="C1204" t="s">
        <v>1123</v>
      </c>
      <c r="D1204" s="24" t="s">
        <v>43</v>
      </c>
      <c r="E1204" s="25" t="s">
        <v>1214</v>
      </c>
    </row>
    <row r="1205" spans="1:5">
      <c r="A1205" t="s">
        <v>160</v>
      </c>
      <c r="B1205" t="s">
        <v>165</v>
      </c>
      <c r="C1205" t="s">
        <v>1123</v>
      </c>
      <c r="D1205" s="24" t="s">
        <v>43</v>
      </c>
      <c r="E1205" s="25" t="s">
        <v>1215</v>
      </c>
    </row>
    <row r="1206" spans="1:5">
      <c r="A1206" t="s">
        <v>160</v>
      </c>
      <c r="B1206" t="s">
        <v>165</v>
      </c>
      <c r="C1206" t="s">
        <v>1123</v>
      </c>
      <c r="D1206" s="24" t="s">
        <v>43</v>
      </c>
      <c r="E1206" s="25" t="s">
        <v>1216</v>
      </c>
    </row>
    <row r="1207" spans="1:5">
      <c r="A1207" t="s">
        <v>160</v>
      </c>
      <c r="B1207" t="s">
        <v>165</v>
      </c>
      <c r="C1207" t="s">
        <v>1123</v>
      </c>
      <c r="D1207" s="24" t="s">
        <v>43</v>
      </c>
      <c r="E1207" s="25" t="s">
        <v>1217</v>
      </c>
    </row>
    <row r="1208" spans="1:5">
      <c r="A1208" t="s">
        <v>160</v>
      </c>
      <c r="B1208" t="s">
        <v>165</v>
      </c>
      <c r="C1208" t="s">
        <v>1123</v>
      </c>
      <c r="D1208" s="24" t="s">
        <v>43</v>
      </c>
      <c r="E1208" s="25" t="s">
        <v>1218</v>
      </c>
    </row>
    <row r="1209" spans="1:5">
      <c r="A1209" t="s">
        <v>160</v>
      </c>
      <c r="B1209" t="s">
        <v>165</v>
      </c>
      <c r="C1209" t="s">
        <v>1123</v>
      </c>
      <c r="D1209" s="24" t="s">
        <v>43</v>
      </c>
      <c r="E1209" s="25" t="s">
        <v>1219</v>
      </c>
    </row>
    <row r="1210" spans="1:5">
      <c r="A1210" t="s">
        <v>160</v>
      </c>
      <c r="B1210" t="s">
        <v>165</v>
      </c>
      <c r="C1210" t="s">
        <v>1123</v>
      </c>
      <c r="D1210" s="24" t="s">
        <v>43</v>
      </c>
      <c r="E1210" s="25" t="s">
        <v>1220</v>
      </c>
    </row>
    <row r="1211" spans="1:5">
      <c r="A1211" t="s">
        <v>160</v>
      </c>
      <c r="B1211" t="s">
        <v>165</v>
      </c>
      <c r="C1211" t="s">
        <v>1123</v>
      </c>
      <c r="D1211" s="24" t="s">
        <v>43</v>
      </c>
      <c r="E1211" s="25" t="s">
        <v>1221</v>
      </c>
    </row>
    <row r="1212" spans="1:5">
      <c r="A1212" t="s">
        <v>160</v>
      </c>
      <c r="B1212" t="s">
        <v>165</v>
      </c>
      <c r="C1212" t="s">
        <v>1123</v>
      </c>
      <c r="D1212" s="24" t="s">
        <v>43</v>
      </c>
      <c r="E1212" s="25" t="s">
        <v>1222</v>
      </c>
    </row>
    <row r="1213" spans="1:5">
      <c r="A1213" t="s">
        <v>160</v>
      </c>
      <c r="B1213" t="s">
        <v>165</v>
      </c>
      <c r="C1213" t="s">
        <v>1123</v>
      </c>
      <c r="D1213" s="24" t="s">
        <v>43</v>
      </c>
      <c r="E1213" s="25" t="s">
        <v>1223</v>
      </c>
    </row>
    <row r="1214" spans="1:5">
      <c r="A1214" t="s">
        <v>160</v>
      </c>
      <c r="B1214" t="s">
        <v>165</v>
      </c>
      <c r="C1214" t="s">
        <v>1123</v>
      </c>
      <c r="D1214" s="24" t="s">
        <v>43</v>
      </c>
      <c r="E1214" s="25" t="s">
        <v>1224</v>
      </c>
    </row>
    <row r="1215" spans="1:5">
      <c r="A1215" t="s">
        <v>160</v>
      </c>
      <c r="B1215" t="s">
        <v>165</v>
      </c>
      <c r="C1215" t="s">
        <v>1123</v>
      </c>
      <c r="D1215" s="24" t="s">
        <v>43</v>
      </c>
      <c r="E1215" s="25" t="s">
        <v>1225</v>
      </c>
    </row>
    <row r="1216" spans="1:5">
      <c r="A1216" t="s">
        <v>160</v>
      </c>
      <c r="B1216" t="s">
        <v>165</v>
      </c>
      <c r="C1216" t="s">
        <v>1123</v>
      </c>
      <c r="D1216" s="24" t="s">
        <v>43</v>
      </c>
      <c r="E1216" s="25" t="s">
        <v>1226</v>
      </c>
    </row>
    <row r="1217" spans="1:5">
      <c r="A1217" t="s">
        <v>160</v>
      </c>
      <c r="B1217" t="s">
        <v>165</v>
      </c>
      <c r="C1217" t="s">
        <v>1123</v>
      </c>
      <c r="D1217" s="24" t="s">
        <v>43</v>
      </c>
      <c r="E1217" s="25" t="s">
        <v>1227</v>
      </c>
    </row>
    <row r="1218" spans="1:5" ht="19.5">
      <c r="E1218" s="21" t="s">
        <v>1228</v>
      </c>
    </row>
    <row r="1219" spans="1:5" ht="17">
      <c r="E1219" s="22" t="s">
        <v>651</v>
      </c>
    </row>
    <row r="1220" spans="1:5">
      <c r="A1220" t="s">
        <v>91</v>
      </c>
      <c r="B1220" t="s">
        <v>91</v>
      </c>
      <c r="C1220" t="s">
        <v>1229</v>
      </c>
      <c r="D1220" s="24" t="s">
        <v>43</v>
      </c>
      <c r="E1220" s="25" t="s">
        <v>1230</v>
      </c>
    </row>
    <row r="1221" spans="1:5">
      <c r="A1221" t="s">
        <v>91</v>
      </c>
      <c r="B1221" t="s">
        <v>91</v>
      </c>
      <c r="C1221" t="s">
        <v>1229</v>
      </c>
      <c r="D1221" s="24" t="s">
        <v>43</v>
      </c>
      <c r="E1221" s="25" t="s">
        <v>1231</v>
      </c>
    </row>
    <row r="1222" spans="1:5">
      <c r="A1222" t="s">
        <v>91</v>
      </c>
      <c r="B1222" t="s">
        <v>91</v>
      </c>
      <c r="C1222" t="s">
        <v>1229</v>
      </c>
      <c r="D1222" s="24" t="s">
        <v>43</v>
      </c>
      <c r="E1222" s="25" t="s">
        <v>1232</v>
      </c>
    </row>
    <row r="1223" spans="1:5">
      <c r="A1223" t="s">
        <v>91</v>
      </c>
      <c r="B1223" t="s">
        <v>91</v>
      </c>
      <c r="C1223" t="s">
        <v>1229</v>
      </c>
      <c r="D1223" s="24" t="s">
        <v>43</v>
      </c>
      <c r="E1223" s="25" t="s">
        <v>1233</v>
      </c>
    </row>
    <row r="1224" spans="1:5">
      <c r="E1224" s="29" t="s">
        <v>1234</v>
      </c>
    </row>
    <row r="1225" spans="1:5">
      <c r="E1225" s="29" t="s">
        <v>1235</v>
      </c>
    </row>
    <row r="1226" spans="1:5" ht="17">
      <c r="E1226" s="22" t="s">
        <v>881</v>
      </c>
    </row>
    <row r="1227" spans="1:5">
      <c r="A1227" t="s">
        <v>105</v>
      </c>
      <c r="B1227" t="s">
        <v>105</v>
      </c>
      <c r="C1227" t="s">
        <v>1229</v>
      </c>
      <c r="D1227" s="24" t="s">
        <v>43</v>
      </c>
      <c r="E1227" s="25" t="s">
        <v>1236</v>
      </c>
    </row>
    <row r="1228" spans="1:5">
      <c r="A1228" t="s">
        <v>105</v>
      </c>
      <c r="B1228" t="s">
        <v>105</v>
      </c>
      <c r="C1228" t="s">
        <v>1229</v>
      </c>
      <c r="D1228" s="24" t="s">
        <v>43</v>
      </c>
      <c r="E1228" s="25" t="s">
        <v>1237</v>
      </c>
    </row>
    <row r="1229" spans="1:5">
      <c r="A1229" t="s">
        <v>105</v>
      </c>
      <c r="B1229" t="s">
        <v>105</v>
      </c>
      <c r="C1229" t="s">
        <v>1229</v>
      </c>
      <c r="D1229" s="24" t="s">
        <v>43</v>
      </c>
      <c r="E1229" s="25" t="s">
        <v>1238</v>
      </c>
    </row>
    <row r="1230" spans="1:5">
      <c r="A1230" t="s">
        <v>105</v>
      </c>
      <c r="B1230" t="s">
        <v>105</v>
      </c>
      <c r="C1230" t="s">
        <v>1229</v>
      </c>
      <c r="D1230" s="24" t="s">
        <v>43</v>
      </c>
      <c r="E1230" s="25" t="s">
        <v>1239</v>
      </c>
    </row>
    <row r="1231" spans="1:5">
      <c r="A1231" t="s">
        <v>105</v>
      </c>
      <c r="B1231" t="s">
        <v>105</v>
      </c>
      <c r="C1231" t="s">
        <v>1229</v>
      </c>
      <c r="D1231" s="24" t="s">
        <v>43</v>
      </c>
      <c r="E1231" s="25" t="s">
        <v>1240</v>
      </c>
    </row>
    <row r="1232" spans="1:5">
      <c r="A1232" t="s">
        <v>105</v>
      </c>
      <c r="B1232" t="s">
        <v>105</v>
      </c>
      <c r="C1232" t="s">
        <v>1229</v>
      </c>
      <c r="D1232" s="24" t="s">
        <v>43</v>
      </c>
      <c r="E1232" s="25" t="s">
        <v>1241</v>
      </c>
    </row>
    <row r="1233" spans="1:5">
      <c r="A1233" t="s">
        <v>105</v>
      </c>
      <c r="B1233" t="s">
        <v>105</v>
      </c>
      <c r="C1233" t="s">
        <v>1229</v>
      </c>
      <c r="D1233" s="24" t="s">
        <v>43</v>
      </c>
      <c r="E1233" s="25" t="s">
        <v>1242</v>
      </c>
    </row>
    <row r="1234" spans="1:5">
      <c r="A1234" t="s">
        <v>105</v>
      </c>
      <c r="B1234" t="s">
        <v>105</v>
      </c>
      <c r="C1234" t="s">
        <v>1229</v>
      </c>
      <c r="D1234" s="24" t="s">
        <v>43</v>
      </c>
      <c r="E1234" s="25" t="s">
        <v>1243</v>
      </c>
    </row>
    <row r="1235" spans="1:5">
      <c r="A1235" t="s">
        <v>105</v>
      </c>
      <c r="B1235" t="s">
        <v>105</v>
      </c>
      <c r="C1235" t="s">
        <v>1229</v>
      </c>
      <c r="D1235" s="24" t="s">
        <v>43</v>
      </c>
      <c r="E1235" s="25" t="s">
        <v>1244</v>
      </c>
    </row>
    <row r="1236" spans="1:5" ht="17">
      <c r="E1236" s="22" t="s">
        <v>1245</v>
      </c>
    </row>
    <row r="1237" spans="1:5">
      <c r="E1237" s="23" t="s">
        <v>1246</v>
      </c>
    </row>
    <row r="1238" spans="1:5">
      <c r="A1238" t="s">
        <v>109</v>
      </c>
      <c r="B1238" t="s">
        <v>110</v>
      </c>
      <c r="C1238" t="s">
        <v>1229</v>
      </c>
      <c r="D1238" s="24" t="s">
        <v>43</v>
      </c>
      <c r="E1238" s="25" t="s">
        <v>1247</v>
      </c>
    </row>
    <row r="1239" spans="1:5">
      <c r="A1239" t="s">
        <v>109</v>
      </c>
      <c r="B1239" t="s">
        <v>110</v>
      </c>
      <c r="C1239" t="s">
        <v>1229</v>
      </c>
      <c r="D1239" s="24" t="s">
        <v>43</v>
      </c>
      <c r="E1239" s="25" t="s">
        <v>1248</v>
      </c>
    </row>
    <row r="1240" spans="1:5">
      <c r="A1240" t="s">
        <v>109</v>
      </c>
      <c r="B1240" t="s">
        <v>110</v>
      </c>
      <c r="C1240" t="s">
        <v>1229</v>
      </c>
      <c r="D1240" s="24" t="s">
        <v>43</v>
      </c>
      <c r="E1240" s="25" t="s">
        <v>1249</v>
      </c>
    </row>
    <row r="1241" spans="1:5">
      <c r="A1241" t="s">
        <v>109</v>
      </c>
      <c r="B1241" t="s">
        <v>110</v>
      </c>
      <c r="C1241" t="s">
        <v>1229</v>
      </c>
      <c r="D1241" s="24" t="s">
        <v>43</v>
      </c>
      <c r="E1241" s="25" t="s">
        <v>1250</v>
      </c>
    </row>
    <row r="1242" spans="1:5">
      <c r="A1242" t="s">
        <v>109</v>
      </c>
      <c r="B1242" t="s">
        <v>110</v>
      </c>
      <c r="C1242" t="s">
        <v>1229</v>
      </c>
      <c r="D1242" s="24" t="s">
        <v>43</v>
      </c>
      <c r="E1242" s="25" t="s">
        <v>1251</v>
      </c>
    </row>
    <row r="1243" spans="1:5">
      <c r="A1243" t="s">
        <v>109</v>
      </c>
      <c r="B1243" t="s">
        <v>110</v>
      </c>
      <c r="C1243" t="s">
        <v>1229</v>
      </c>
      <c r="D1243" s="24" t="s">
        <v>43</v>
      </c>
      <c r="E1243" s="25" t="s">
        <v>1252</v>
      </c>
    </row>
    <row r="1244" spans="1:5">
      <c r="A1244" t="s">
        <v>109</v>
      </c>
      <c r="B1244" t="s">
        <v>110</v>
      </c>
      <c r="C1244" t="s">
        <v>1229</v>
      </c>
      <c r="D1244" s="24" t="s">
        <v>43</v>
      </c>
      <c r="E1244" s="25" t="s">
        <v>1253</v>
      </c>
    </row>
    <row r="1245" spans="1:5">
      <c r="A1245" t="s">
        <v>109</v>
      </c>
      <c r="B1245" t="s">
        <v>110</v>
      </c>
      <c r="C1245" t="s">
        <v>1229</v>
      </c>
      <c r="D1245" s="24" t="s">
        <v>43</v>
      </c>
      <c r="E1245" s="25" t="s">
        <v>1254</v>
      </c>
    </row>
    <row r="1246" spans="1:5">
      <c r="A1246" t="s">
        <v>109</v>
      </c>
      <c r="B1246" t="s">
        <v>110</v>
      </c>
      <c r="C1246" t="s">
        <v>1229</v>
      </c>
      <c r="D1246" s="24" t="s">
        <v>43</v>
      </c>
      <c r="E1246" s="25" t="s">
        <v>1255</v>
      </c>
    </row>
    <row r="1247" spans="1:5">
      <c r="A1247" t="s">
        <v>109</v>
      </c>
      <c r="B1247" t="s">
        <v>110</v>
      </c>
      <c r="C1247" t="s">
        <v>1229</v>
      </c>
      <c r="D1247" s="24" t="s">
        <v>43</v>
      </c>
      <c r="E1247" s="25" t="s">
        <v>1256</v>
      </c>
    </row>
    <row r="1248" spans="1:5">
      <c r="A1248" t="s">
        <v>109</v>
      </c>
      <c r="B1248" t="s">
        <v>110</v>
      </c>
      <c r="C1248" t="s">
        <v>1229</v>
      </c>
      <c r="D1248" s="24" t="s">
        <v>43</v>
      </c>
      <c r="E1248" s="25" t="s">
        <v>1257</v>
      </c>
    </row>
    <row r="1249" spans="1:5">
      <c r="A1249" t="s">
        <v>109</v>
      </c>
      <c r="B1249" t="s">
        <v>110</v>
      </c>
      <c r="C1249" t="s">
        <v>1229</v>
      </c>
      <c r="D1249" s="24" t="s">
        <v>43</v>
      </c>
      <c r="E1249" s="25" t="s">
        <v>1258</v>
      </c>
    </row>
    <row r="1250" spans="1:5">
      <c r="A1250" t="s">
        <v>109</v>
      </c>
      <c r="B1250" t="s">
        <v>110</v>
      </c>
      <c r="C1250" t="s">
        <v>1229</v>
      </c>
      <c r="D1250" s="24" t="s">
        <v>43</v>
      </c>
      <c r="E1250" s="25" t="s">
        <v>1259</v>
      </c>
    </row>
    <row r="1251" spans="1:5">
      <c r="A1251" t="s">
        <v>109</v>
      </c>
      <c r="B1251" t="s">
        <v>110</v>
      </c>
      <c r="C1251" t="s">
        <v>1229</v>
      </c>
      <c r="D1251" s="24" t="s">
        <v>43</v>
      </c>
      <c r="E1251" s="25" t="s">
        <v>1260</v>
      </c>
    </row>
    <row r="1252" spans="1:5">
      <c r="E1252" s="23" t="s">
        <v>1261</v>
      </c>
    </row>
    <row r="1253" spans="1:5">
      <c r="A1253" t="s">
        <v>109</v>
      </c>
      <c r="B1253" t="s">
        <v>118</v>
      </c>
      <c r="C1253" t="s">
        <v>1229</v>
      </c>
      <c r="D1253" s="24" t="s">
        <v>43</v>
      </c>
      <c r="E1253" s="25" t="s">
        <v>1262</v>
      </c>
    </row>
    <row r="1254" spans="1:5">
      <c r="A1254" t="s">
        <v>109</v>
      </c>
      <c r="B1254" t="s">
        <v>118</v>
      </c>
      <c r="C1254" t="s">
        <v>1229</v>
      </c>
      <c r="D1254" s="24" t="s">
        <v>43</v>
      </c>
      <c r="E1254" s="25" t="s">
        <v>1263</v>
      </c>
    </row>
    <row r="1255" spans="1:5">
      <c r="A1255" t="s">
        <v>109</v>
      </c>
      <c r="B1255" t="s">
        <v>118</v>
      </c>
      <c r="C1255" t="s">
        <v>1229</v>
      </c>
      <c r="D1255" s="24" t="s">
        <v>43</v>
      </c>
      <c r="E1255" s="25" t="s">
        <v>1264</v>
      </c>
    </row>
    <row r="1256" spans="1:5">
      <c r="A1256" t="s">
        <v>109</v>
      </c>
      <c r="B1256" t="s">
        <v>118</v>
      </c>
      <c r="C1256" t="s">
        <v>1229</v>
      </c>
      <c r="D1256" s="24" t="s">
        <v>43</v>
      </c>
      <c r="E1256" s="25" t="s">
        <v>1265</v>
      </c>
    </row>
    <row r="1257" spans="1:5">
      <c r="A1257" t="s">
        <v>109</v>
      </c>
      <c r="B1257" t="s">
        <v>118</v>
      </c>
      <c r="C1257" t="s">
        <v>1229</v>
      </c>
      <c r="D1257" s="24" t="s">
        <v>43</v>
      </c>
      <c r="E1257" s="25" t="s">
        <v>1266</v>
      </c>
    </row>
    <row r="1258" spans="1:5">
      <c r="A1258" t="s">
        <v>109</v>
      </c>
      <c r="B1258" t="s">
        <v>118</v>
      </c>
      <c r="C1258" t="s">
        <v>1229</v>
      </c>
      <c r="D1258" s="24" t="s">
        <v>43</v>
      </c>
      <c r="E1258" s="25" t="s">
        <v>1267</v>
      </c>
    </row>
    <row r="1259" spans="1:5">
      <c r="A1259" t="s">
        <v>109</v>
      </c>
      <c r="B1259" t="s">
        <v>118</v>
      </c>
      <c r="C1259" t="s">
        <v>1229</v>
      </c>
      <c r="D1259" s="24" t="s">
        <v>43</v>
      </c>
      <c r="E1259" s="25" t="s">
        <v>1268</v>
      </c>
    </row>
    <row r="1260" spans="1:5">
      <c r="A1260" t="s">
        <v>109</v>
      </c>
      <c r="B1260" t="s">
        <v>118</v>
      </c>
      <c r="C1260" t="s">
        <v>1229</v>
      </c>
      <c r="D1260" s="24" t="s">
        <v>43</v>
      </c>
      <c r="E1260" s="25" t="s">
        <v>1269</v>
      </c>
    </row>
    <row r="1261" spans="1:5">
      <c r="A1261" t="s">
        <v>109</v>
      </c>
      <c r="B1261" t="s">
        <v>118</v>
      </c>
      <c r="C1261" t="s">
        <v>1229</v>
      </c>
      <c r="D1261" s="24" t="s">
        <v>43</v>
      </c>
      <c r="E1261" s="25" t="s">
        <v>1270</v>
      </c>
    </row>
    <row r="1262" spans="1:5">
      <c r="A1262" t="s">
        <v>109</v>
      </c>
      <c r="B1262" t="s">
        <v>118</v>
      </c>
      <c r="C1262" t="s">
        <v>1229</v>
      </c>
      <c r="D1262" s="24" t="s">
        <v>43</v>
      </c>
      <c r="E1262" s="25" t="s">
        <v>1271</v>
      </c>
    </row>
    <row r="1263" spans="1:5">
      <c r="E1263" s="23" t="s">
        <v>432</v>
      </c>
    </row>
    <row r="1264" spans="1:5">
      <c r="A1264" t="s">
        <v>109</v>
      </c>
      <c r="B1264" s="8" t="s">
        <v>124</v>
      </c>
      <c r="C1264" t="s">
        <v>1229</v>
      </c>
      <c r="D1264" s="24" t="s">
        <v>43</v>
      </c>
      <c r="E1264" s="25" t="s">
        <v>1272</v>
      </c>
    </row>
    <row r="1265" spans="1:5">
      <c r="A1265" t="s">
        <v>109</v>
      </c>
      <c r="B1265" s="8" t="s">
        <v>124</v>
      </c>
      <c r="C1265" t="s">
        <v>1229</v>
      </c>
      <c r="D1265" s="24" t="s">
        <v>43</v>
      </c>
      <c r="E1265" s="25" t="s">
        <v>1273</v>
      </c>
    </row>
    <row r="1266" spans="1:5">
      <c r="A1266" t="s">
        <v>109</v>
      </c>
      <c r="B1266" s="8" t="s">
        <v>124</v>
      </c>
      <c r="C1266" t="s">
        <v>1229</v>
      </c>
      <c r="D1266" s="24" t="s">
        <v>43</v>
      </c>
      <c r="E1266" s="25" t="s">
        <v>1274</v>
      </c>
    </row>
    <row r="1267" spans="1:5">
      <c r="A1267" t="s">
        <v>109</v>
      </c>
      <c r="B1267" s="8" t="s">
        <v>124</v>
      </c>
      <c r="C1267" t="s">
        <v>1229</v>
      </c>
      <c r="D1267" s="24" t="s">
        <v>43</v>
      </c>
      <c r="E1267" s="25" t="s">
        <v>1275</v>
      </c>
    </row>
    <row r="1268" spans="1:5" ht="17">
      <c r="E1268" s="22" t="s">
        <v>1276</v>
      </c>
    </row>
    <row r="1269" spans="1:5">
      <c r="E1269" s="23" t="s">
        <v>1277</v>
      </c>
    </row>
    <row r="1270" spans="1:5">
      <c r="A1270" t="s">
        <v>134</v>
      </c>
      <c r="B1270" t="s">
        <v>135</v>
      </c>
      <c r="C1270" t="s">
        <v>1229</v>
      </c>
      <c r="D1270" s="24" t="s">
        <v>43</v>
      </c>
      <c r="E1270" s="25" t="s">
        <v>1278</v>
      </c>
    </row>
    <row r="1271" spans="1:5">
      <c r="A1271" t="s">
        <v>134</v>
      </c>
      <c r="B1271" t="s">
        <v>135</v>
      </c>
      <c r="C1271" t="s">
        <v>1229</v>
      </c>
      <c r="D1271" s="24" t="s">
        <v>43</v>
      </c>
      <c r="E1271" s="25" t="s">
        <v>1279</v>
      </c>
    </row>
    <row r="1272" spans="1:5">
      <c r="A1272" t="s">
        <v>134</v>
      </c>
      <c r="B1272" t="s">
        <v>135</v>
      </c>
      <c r="C1272" t="s">
        <v>1229</v>
      </c>
      <c r="D1272" s="24" t="s">
        <v>43</v>
      </c>
      <c r="E1272" s="25" t="s">
        <v>1280</v>
      </c>
    </row>
    <row r="1273" spans="1:5">
      <c r="E1273" s="23" t="s">
        <v>1189</v>
      </c>
    </row>
    <row r="1274" spans="1:5">
      <c r="A1274" t="s">
        <v>134</v>
      </c>
      <c r="B1274" t="s">
        <v>144</v>
      </c>
      <c r="C1274" t="s">
        <v>1229</v>
      </c>
      <c r="D1274" s="24" t="s">
        <v>43</v>
      </c>
      <c r="E1274" s="25" t="s">
        <v>1281</v>
      </c>
    </row>
    <row r="1275" spans="1:5">
      <c r="A1275" t="s">
        <v>134</v>
      </c>
      <c r="B1275" t="s">
        <v>144</v>
      </c>
      <c r="C1275" t="s">
        <v>1229</v>
      </c>
      <c r="D1275" s="24" t="s">
        <v>43</v>
      </c>
      <c r="E1275" s="25" t="s">
        <v>1282</v>
      </c>
    </row>
    <row r="1276" spans="1:5">
      <c r="A1276" t="s">
        <v>134</v>
      </c>
      <c r="B1276" t="s">
        <v>144</v>
      </c>
      <c r="C1276" t="s">
        <v>1229</v>
      </c>
      <c r="D1276" s="24" t="s">
        <v>43</v>
      </c>
      <c r="E1276" s="25" t="s">
        <v>1283</v>
      </c>
    </row>
    <row r="1277" spans="1:5">
      <c r="A1277" t="s">
        <v>134</v>
      </c>
      <c r="B1277" t="s">
        <v>144</v>
      </c>
      <c r="C1277" t="s">
        <v>1229</v>
      </c>
      <c r="D1277" s="24" t="s">
        <v>43</v>
      </c>
      <c r="E1277" s="25" t="s">
        <v>1284</v>
      </c>
    </row>
    <row r="1278" spans="1:5">
      <c r="E1278" s="23" t="s">
        <v>1285</v>
      </c>
    </row>
    <row r="1279" spans="1:5">
      <c r="A1279" t="s">
        <v>134</v>
      </c>
      <c r="B1279" t="s">
        <v>294</v>
      </c>
      <c r="C1279" t="s">
        <v>1229</v>
      </c>
      <c r="D1279" s="24" t="s">
        <v>43</v>
      </c>
      <c r="E1279" s="25" t="s">
        <v>1286</v>
      </c>
    </row>
    <row r="1280" spans="1:5">
      <c r="A1280" t="s">
        <v>134</v>
      </c>
      <c r="B1280" t="s">
        <v>294</v>
      </c>
      <c r="C1280" t="s">
        <v>1229</v>
      </c>
      <c r="D1280" s="24" t="s">
        <v>43</v>
      </c>
      <c r="E1280" s="25" t="s">
        <v>1287</v>
      </c>
    </row>
    <row r="1281" spans="1:5">
      <c r="A1281" t="s">
        <v>134</v>
      </c>
      <c r="B1281" t="s">
        <v>294</v>
      </c>
      <c r="C1281" t="s">
        <v>1229</v>
      </c>
      <c r="D1281" s="24" t="s">
        <v>43</v>
      </c>
      <c r="E1281" s="25" t="s">
        <v>1288</v>
      </c>
    </row>
    <row r="1282" spans="1:5">
      <c r="A1282" t="s">
        <v>134</v>
      </c>
      <c r="B1282" t="s">
        <v>294</v>
      </c>
      <c r="C1282" t="s">
        <v>1229</v>
      </c>
      <c r="D1282" s="24" t="s">
        <v>43</v>
      </c>
      <c r="E1282" s="25" t="s">
        <v>1289</v>
      </c>
    </row>
    <row r="1283" spans="1:5">
      <c r="A1283" t="s">
        <v>134</v>
      </c>
      <c r="B1283" t="s">
        <v>294</v>
      </c>
      <c r="C1283" t="s">
        <v>1229</v>
      </c>
      <c r="D1283" s="24" t="s">
        <v>43</v>
      </c>
      <c r="E1283" s="25" t="s">
        <v>1290</v>
      </c>
    </row>
    <row r="1284" spans="1:5">
      <c r="A1284" t="s">
        <v>134</v>
      </c>
      <c r="B1284" t="s">
        <v>294</v>
      </c>
      <c r="C1284" t="s">
        <v>1229</v>
      </c>
      <c r="D1284" s="24" t="s">
        <v>43</v>
      </c>
      <c r="E1284" s="25" t="s">
        <v>1291</v>
      </c>
    </row>
    <row r="1285" spans="1:5">
      <c r="A1285" t="s">
        <v>134</v>
      </c>
      <c r="B1285" t="s">
        <v>294</v>
      </c>
      <c r="C1285" t="s">
        <v>1229</v>
      </c>
      <c r="D1285" s="24" t="s">
        <v>43</v>
      </c>
      <c r="E1285" s="25" t="s">
        <v>1292</v>
      </c>
    </row>
    <row r="1286" spans="1:5">
      <c r="A1286" t="s">
        <v>134</v>
      </c>
      <c r="B1286" t="s">
        <v>294</v>
      </c>
      <c r="C1286" t="s">
        <v>1229</v>
      </c>
      <c r="D1286" s="24" t="s">
        <v>43</v>
      </c>
      <c r="E1286" s="25" t="s">
        <v>1293</v>
      </c>
    </row>
    <row r="1287" spans="1:5">
      <c r="E1287" s="23" t="s">
        <v>1294</v>
      </c>
    </row>
    <row r="1288" spans="1:5">
      <c r="A1288" t="s">
        <v>134</v>
      </c>
      <c r="B1288" t="s">
        <v>149</v>
      </c>
      <c r="C1288" t="s">
        <v>1229</v>
      </c>
      <c r="D1288" s="24" t="s">
        <v>43</v>
      </c>
      <c r="E1288" s="25" t="s">
        <v>1295</v>
      </c>
    </row>
    <row r="1289" spans="1:5">
      <c r="A1289" t="s">
        <v>134</v>
      </c>
      <c r="B1289" t="s">
        <v>149</v>
      </c>
      <c r="C1289" t="s">
        <v>1229</v>
      </c>
      <c r="D1289" s="24" t="s">
        <v>43</v>
      </c>
      <c r="E1289" s="25" t="s">
        <v>1296</v>
      </c>
    </row>
    <row r="1290" spans="1:5">
      <c r="A1290" t="s">
        <v>134</v>
      </c>
      <c r="B1290" t="s">
        <v>149</v>
      </c>
      <c r="C1290" t="s">
        <v>1229</v>
      </c>
      <c r="D1290" s="24" t="s">
        <v>43</v>
      </c>
      <c r="E1290" s="25" t="s">
        <v>1297</v>
      </c>
    </row>
    <row r="1291" spans="1:5">
      <c r="A1291" t="s">
        <v>134</v>
      </c>
      <c r="B1291" t="s">
        <v>149</v>
      </c>
      <c r="C1291" t="s">
        <v>1229</v>
      </c>
      <c r="D1291" s="24" t="s">
        <v>43</v>
      </c>
      <c r="E1291" s="25" t="s">
        <v>1298</v>
      </c>
    </row>
    <row r="1292" spans="1:5">
      <c r="A1292" t="s">
        <v>134</v>
      </c>
      <c r="B1292" t="s">
        <v>149</v>
      </c>
      <c r="C1292" t="s">
        <v>1229</v>
      </c>
      <c r="D1292" s="24" t="s">
        <v>43</v>
      </c>
      <c r="E1292" s="25" t="s">
        <v>1299</v>
      </c>
    </row>
    <row r="1293" spans="1:5">
      <c r="A1293" t="s">
        <v>134</v>
      </c>
      <c r="B1293" t="s">
        <v>149</v>
      </c>
      <c r="C1293" t="s">
        <v>1229</v>
      </c>
      <c r="D1293" s="24" t="s">
        <v>43</v>
      </c>
      <c r="E1293" s="25" t="s">
        <v>1300</v>
      </c>
    </row>
    <row r="1294" spans="1:5">
      <c r="A1294" t="s">
        <v>134</v>
      </c>
      <c r="B1294" t="s">
        <v>149</v>
      </c>
      <c r="C1294" t="s">
        <v>1229</v>
      </c>
      <c r="D1294" s="24" t="s">
        <v>43</v>
      </c>
      <c r="E1294" s="25" t="s">
        <v>1301</v>
      </c>
    </row>
    <row r="1295" spans="1:5">
      <c r="A1295" t="s">
        <v>134</v>
      </c>
      <c r="B1295" t="s">
        <v>149</v>
      </c>
      <c r="C1295" t="s">
        <v>1229</v>
      </c>
      <c r="D1295" s="24" t="s">
        <v>43</v>
      </c>
      <c r="E1295" s="25" t="s">
        <v>1302</v>
      </c>
    </row>
    <row r="1296" spans="1:5" ht="17">
      <c r="E1296" s="22" t="s">
        <v>1002</v>
      </c>
    </row>
    <row r="1297" spans="1:5">
      <c r="E1297" s="23" t="s">
        <v>307</v>
      </c>
    </row>
    <row r="1298" spans="1:5">
      <c r="A1298" t="s">
        <v>160</v>
      </c>
      <c r="B1298" t="s">
        <v>161</v>
      </c>
      <c r="C1298" t="s">
        <v>1229</v>
      </c>
      <c r="D1298" s="24" t="s">
        <v>43</v>
      </c>
      <c r="E1298" s="25" t="s">
        <v>1303</v>
      </c>
    </row>
    <row r="1299" spans="1:5">
      <c r="A1299" t="s">
        <v>160</v>
      </c>
      <c r="B1299" t="s">
        <v>161</v>
      </c>
      <c r="C1299" t="s">
        <v>1229</v>
      </c>
      <c r="D1299" s="24" t="s">
        <v>43</v>
      </c>
      <c r="E1299" s="25" t="s">
        <v>1304</v>
      </c>
    </row>
    <row r="1300" spans="1:5">
      <c r="A1300" t="s">
        <v>160</v>
      </c>
      <c r="B1300" t="s">
        <v>161</v>
      </c>
      <c r="C1300" t="s">
        <v>1229</v>
      </c>
      <c r="D1300" s="24" t="s">
        <v>43</v>
      </c>
      <c r="E1300" s="25" t="s">
        <v>1305</v>
      </c>
    </row>
    <row r="1301" spans="1:5">
      <c r="A1301" t="s">
        <v>160</v>
      </c>
      <c r="B1301" t="s">
        <v>161</v>
      </c>
      <c r="C1301" t="s">
        <v>1229</v>
      </c>
      <c r="D1301" s="24" t="s">
        <v>43</v>
      </c>
      <c r="E1301" s="25" t="s">
        <v>1306</v>
      </c>
    </row>
    <row r="1302" spans="1:5">
      <c r="A1302" t="s">
        <v>160</v>
      </c>
      <c r="B1302" t="s">
        <v>161</v>
      </c>
      <c r="C1302" t="s">
        <v>1229</v>
      </c>
      <c r="D1302" s="24" t="s">
        <v>43</v>
      </c>
      <c r="E1302" s="25" t="s">
        <v>1307</v>
      </c>
    </row>
    <row r="1303" spans="1:5">
      <c r="A1303" t="s">
        <v>160</v>
      </c>
      <c r="B1303" t="s">
        <v>161</v>
      </c>
      <c r="C1303" t="s">
        <v>1229</v>
      </c>
      <c r="D1303" s="24" t="s">
        <v>43</v>
      </c>
      <c r="E1303" s="25" t="s">
        <v>1308</v>
      </c>
    </row>
    <row r="1304" spans="1:5">
      <c r="E1304" s="23" t="s">
        <v>1309</v>
      </c>
    </row>
    <row r="1305" spans="1:5">
      <c r="A1305" t="s">
        <v>160</v>
      </c>
      <c r="B1305" t="s">
        <v>165</v>
      </c>
      <c r="C1305" t="s">
        <v>1229</v>
      </c>
      <c r="D1305" s="24" t="s">
        <v>43</v>
      </c>
      <c r="E1305" s="25" t="s">
        <v>1310</v>
      </c>
    </row>
    <row r="1306" spans="1:5">
      <c r="A1306" t="s">
        <v>160</v>
      </c>
      <c r="B1306" t="s">
        <v>165</v>
      </c>
      <c r="C1306" t="s">
        <v>1229</v>
      </c>
      <c r="D1306" s="24" t="s">
        <v>43</v>
      </c>
      <c r="E1306" s="25" t="s">
        <v>1311</v>
      </c>
    </row>
    <row r="1307" spans="1:5">
      <c r="A1307" t="s">
        <v>160</v>
      </c>
      <c r="B1307" t="s">
        <v>165</v>
      </c>
      <c r="C1307" t="s">
        <v>1229</v>
      </c>
      <c r="D1307" s="24" t="s">
        <v>43</v>
      </c>
      <c r="E1307" s="25" t="s">
        <v>1312</v>
      </c>
    </row>
    <row r="1308" spans="1:5">
      <c r="A1308" t="s">
        <v>160</v>
      </c>
      <c r="B1308" t="s">
        <v>165</v>
      </c>
      <c r="C1308" t="s">
        <v>1229</v>
      </c>
      <c r="D1308" s="24" t="s">
        <v>43</v>
      </c>
      <c r="E1308" s="25" t="s">
        <v>1313</v>
      </c>
    </row>
    <row r="1309" spans="1:5">
      <c r="A1309" t="s">
        <v>160</v>
      </c>
      <c r="B1309" t="s">
        <v>165</v>
      </c>
      <c r="C1309" t="s">
        <v>1229</v>
      </c>
      <c r="D1309" s="24" t="s">
        <v>43</v>
      </c>
      <c r="E1309" s="25" t="s">
        <v>1314</v>
      </c>
    </row>
    <row r="1310" spans="1:5">
      <c r="A1310" t="s">
        <v>160</v>
      </c>
      <c r="B1310" t="s">
        <v>165</v>
      </c>
      <c r="C1310" t="s">
        <v>1229</v>
      </c>
      <c r="D1310" s="24" t="s">
        <v>43</v>
      </c>
      <c r="E1310" s="25" t="s">
        <v>1315</v>
      </c>
    </row>
    <row r="1311" spans="1:5">
      <c r="A1311" t="s">
        <v>160</v>
      </c>
      <c r="B1311" t="s">
        <v>165</v>
      </c>
      <c r="C1311" t="s">
        <v>1229</v>
      </c>
      <c r="D1311" s="24" t="s">
        <v>43</v>
      </c>
      <c r="E1311" s="25" t="s">
        <v>1316</v>
      </c>
    </row>
    <row r="1312" spans="1:5">
      <c r="A1312" t="s">
        <v>160</v>
      </c>
      <c r="B1312" t="s">
        <v>165</v>
      </c>
      <c r="C1312" t="s">
        <v>1229</v>
      </c>
      <c r="D1312" s="24" t="s">
        <v>43</v>
      </c>
      <c r="E1312" s="25" t="s">
        <v>1317</v>
      </c>
    </row>
    <row r="1313" spans="1:5">
      <c r="A1313" t="s">
        <v>160</v>
      </c>
      <c r="B1313" t="s">
        <v>165</v>
      </c>
      <c r="C1313" t="s">
        <v>1229</v>
      </c>
      <c r="D1313" s="24" t="s">
        <v>43</v>
      </c>
      <c r="E1313" s="25" t="s">
        <v>1318</v>
      </c>
    </row>
    <row r="1314" spans="1:5">
      <c r="A1314" t="s">
        <v>160</v>
      </c>
      <c r="B1314" t="s">
        <v>165</v>
      </c>
      <c r="C1314" t="s">
        <v>1229</v>
      </c>
      <c r="D1314" s="24" t="s">
        <v>43</v>
      </c>
      <c r="E1314" s="25" t="s">
        <v>1319</v>
      </c>
    </row>
  </sheetData>
  <autoFilter ref="A4:Q1314" xr:uid="{00000000-0009-0000-0000-000001000000}"/>
  <phoneticPr fontId="26" type="noConversion"/>
  <dataValidations count="1">
    <dataValidation type="list" allowBlank="1" showInputMessage="1" showErrorMessage="1" sqref="D77 D113 D254 D374 D376 D717 D724 D726 D728 D730 D742 D846 D922 D924 D971 D1007 D1113 D5:D20 D22:D31 D33:D41 D44:D55 D57:D64 D66:D67 D70:D75 D80:D85 D87:D90 D92:D98 D101:D107 D109:D111 D115:D119 D122:D123 D125:D127 D131:D138 D140:D147 D149:D158 D161:D173 D175:D180 D182:D187 D190:D196 D198:D200 D203:D226 D228:D231 D233:D240 D243:D247 D249:D252 D256:D259 D261:D265 D268:D273 D275:D282 D286:D300 D302:D310 D312:D319 D322:D336 D338:D346 D348:D351 D353:D358 D361:D372 D379:D386 D388:D390 D392:D395 D398:D402 D404:D408 D410:D417 D419:D421 D423:D426 D429:D437 D439:D444 D448:D453 D455:D459 D461:D464 D467:D478 D480:D487 D489:D498 D501:D505 D507:D508 D510:D515 D518:D535 D537:D542 D544:D554 D557:D560 D562:D565 D567:D571 D573:D576 D578:D583 D587:D594 D596:D601 D605:D613 D615:D617 D619:D620 D622:D623 D626:D629 D631:D632 D634:D644 D647:D655 D657:D660 D662:D666 D669:D672 D674:D675 D677:D679 D681:D682 D684:D691 D694:D703 D705:D713 D719:D722 D732:D733 D736:D740 D744:D753 D756:D774 D776:D786 D788:D795 D798:D802 D804:D808 D810:D812 D814:D816 D818:D820 D823:D830 D832:D842 D848:D849 D851:D856 D858:D866 D869:D874 D876:D880 D882:D885 D888:D889 D891:D893 D895:D899 D901:D902 D905:D909 D911:D915 D919:D920 D926:D930 D932:D938 D941:D948 D950:D956 D958:D964 D967:D969 D973:D977 D979:D985 D988:D990 D992:D1004 D1009:D1017 D1019:D1031 D1034:D1045 D1047:D1054 D1056:D1064 D1067:D1071 D1073:D1076 D1078:D1081 D1083:D1087 D1090:D1095 D1097:D1107 D1110:D1111 D1115:D1117 D1119:D1129 D1132:D1144 D1146:D1154 D1156:D1173 D1176:D1177 D1179:D1182 D1184:D1186 D1188:D1190 D1193:D1198 D1200:D1217 D1220:D1223 D1227:D1235 D1238:D1251 D1253:D1262 D1264:D1267 D1270:D1272 D1274:D1277 D1279:D1286 D1288:D1295 D1298:D1303 D1305:D1314" xr:uid="{00000000-0002-0000-0100-000000000000}">
      <formula1>"£,R"</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19"/>
  <sheetViews>
    <sheetView workbookViewId="0">
      <selection activeCell="J15" sqref="J15:J16"/>
    </sheetView>
  </sheetViews>
  <sheetFormatPr defaultColWidth="9" defaultRowHeight="14.5"/>
  <cols>
    <col min="1" max="2" width="9" style="3"/>
    <col min="3" max="3" width="12.69921875" style="3" customWidth="1"/>
    <col min="4" max="15" width="9" style="3"/>
    <col min="16" max="27" width="9" style="3" hidden="1" customWidth="1"/>
    <col min="28" max="16384" width="9" style="3"/>
  </cols>
  <sheetData>
    <row r="1" spans="1:27" customFormat="1"/>
    <row r="2" spans="1:27" s="14" customFormat="1" ht="25" customHeight="1">
      <c r="A2" s="15" t="s">
        <v>1320</v>
      </c>
    </row>
    <row r="3" spans="1:27" s="2" customFormat="1"/>
    <row r="4" spans="1:27" s="2" customFormat="1" ht="22" customHeight="1">
      <c r="C4" s="16" t="s">
        <v>1229</v>
      </c>
      <c r="D4" s="6"/>
      <c r="E4" s="6"/>
      <c r="F4" s="6"/>
      <c r="G4" s="6"/>
      <c r="H4" s="6"/>
      <c r="I4" s="6" t="str">
        <f>COUNTIFS(Input!$A$1:$A$1500,I$17,Input!$C$1:$C$1500,$C4,Input!$D$1:$D$1500,"R")&amp;"/"&amp;COUNTIFS(Input!$A$1:$A$1500,I$17,Input!$C$1:$C$1500,$C4)</f>
        <v>0/4</v>
      </c>
      <c r="J4" s="6"/>
      <c r="K4" s="6" t="str">
        <f>COUNTIFS(Input!$A$1:$A$1500,K$17,Input!$C$1:$C$1500,$C4,Input!$D$1:$D$1500,"R")&amp;"/"&amp;COUNTIFS(Input!$A$1:$A$1500,K$17,Input!$C$1:$C$1500,$C4)</f>
        <v>0/9</v>
      </c>
      <c r="L4" s="6" t="str">
        <f>COUNTIFS(Input!$A$1:$A$1500,L$17,Input!$C$1:$C$1500,$C4,Input!$D$1:$D$1500,"R")&amp;"/"&amp;COUNTIFS(Input!$A$1:$A$1500,L$17,Input!$C$1:$C$1500,$C4)</f>
        <v>0/28</v>
      </c>
      <c r="M4" s="6" t="str">
        <f>COUNTIFS(Input!$A$1:$A$1500,M$17,Input!$C$1:$C$1500,$C4,Input!$D$1:$D$1500,"R")&amp;"/"&amp;COUNTIFS(Input!$A$1:$A$1500,M$17,Input!$C$1:$C$1500,$C4)</f>
        <v>0/23</v>
      </c>
      <c r="N4" s="6"/>
      <c r="O4" s="6" t="str">
        <f>COUNTIFS(Input!$A$1:$A$1500,O$17,Input!$C$1:$C$1500,$C4,Input!$D$1:$D$1500,"R")&amp;"/"&amp;COUNTIFS(Input!$A$1:$A$1500,O$17,Input!$C$1:$C$1500,$C4)</f>
        <v>0/16</v>
      </c>
      <c r="P4" s="17" t="e">
        <f>COUNTIFS(Input!$A$1:$A$1500,D$17,Input!$C$1:$C$1500,$C4,Input!$D$1:$D$1500,"R")/COUNTIFS(Input!$A$1:$A$1500,D$17,Input!$C$1:$C$1500,$C4)</f>
        <v>#DIV/0!</v>
      </c>
      <c r="Q4" s="17" t="e">
        <f>COUNTIFS(Input!$A$1:$A$1500,E$17,Input!$C$1:$C$1500,$C4,Input!$D$1:$D$1500,"R")/COUNTIFS(Input!$A$1:$A$1500,E$17,Input!$C$1:$C$1500,$C4)</f>
        <v>#DIV/0!</v>
      </c>
      <c r="R4" s="17" t="e">
        <f>COUNTIFS(Input!$A$1:$A$1500,F$17,Input!$C$1:$C$1500,$C4,Input!$D$1:$D$1500,"R")/COUNTIFS(Input!$A$1:$A$1500,F$17,Input!$C$1:$C$1500,$C4)</f>
        <v>#DIV/0!</v>
      </c>
      <c r="S4" s="17" t="e">
        <f>COUNTIFS(Input!$A$1:$A$1500,G$17,Input!$C$1:$C$1500,$C4,Input!$D$1:$D$1500,"R")/COUNTIFS(Input!$A$1:$A$1500,G$17,Input!$C$1:$C$1500,$C4)</f>
        <v>#DIV/0!</v>
      </c>
      <c r="T4" s="17" t="e">
        <f>COUNTIFS(Input!$A$1:$A$1500,H$17,Input!$C$1:$C$1500,$C4,Input!$D$1:$D$1500,"R")/COUNTIFS(Input!$A$1:$A$1500,H$17,Input!$C$1:$C$1500,$C4)</f>
        <v>#DIV/0!</v>
      </c>
      <c r="U4" s="17">
        <f>COUNTIFS(Input!$A$1:$A$1500,I$17,Input!$C$1:$C$1500,$C4,Input!$D$1:$D$1500,"R")/COUNTIFS(Input!$A$1:$A$1500,I$17,Input!$C$1:$C$1500,$C4)</f>
        <v>0</v>
      </c>
      <c r="V4" s="17" t="e">
        <f>COUNTIFS(Input!$A$1:$A$1500,J$17,Input!$C$1:$C$1500,$C4,Input!$D$1:$D$1500,"R")/COUNTIFS(Input!$A$1:$A$1500,J$17,Input!$C$1:$C$1500,$C4)</f>
        <v>#DIV/0!</v>
      </c>
      <c r="W4" s="17">
        <f>COUNTIFS(Input!$A$1:$A$1500,K$17,Input!$C$1:$C$1500,$C4,Input!$D$1:$D$1500,"R")/COUNTIFS(Input!$A$1:$A$1500,K$17,Input!$C$1:$C$1500,$C4)</f>
        <v>0</v>
      </c>
      <c r="X4" s="17">
        <f>COUNTIFS(Input!$A$1:$A$1500,L$17,Input!$C$1:$C$1500,$C4,Input!$D$1:$D$1500,"R")/COUNTIFS(Input!$A$1:$A$1500,L$17,Input!$C$1:$C$1500,$C4)</f>
        <v>0</v>
      </c>
      <c r="Y4" s="17">
        <f>COUNTIFS(Input!$A$1:$A$1500,M$17,Input!$C$1:$C$1500,$C4,Input!$D$1:$D$1500,"R")/COUNTIFS(Input!$A$1:$A$1500,M$17,Input!$C$1:$C$1500,$C4)</f>
        <v>0</v>
      </c>
      <c r="Z4" s="17" t="e">
        <f>COUNTIFS(Input!$A$1:$A$1500,N$17,Input!$C$1:$C$1500,$C4,Input!$D$1:$D$1500,"R")/COUNTIFS(Input!$A$1:$A$1500,N$17,Input!$C$1:$C$1500,$C4)</f>
        <v>#DIV/0!</v>
      </c>
      <c r="AA4" s="17">
        <f>COUNTIFS(Input!$A$1:$A$1500,O$17,Input!$C$1:$C$1500,$C4,Input!$D$1:$D$1500,"R")/COUNTIFS(Input!$A$1:$A$1500,O$17,Input!$C$1:$C$1500,$C4)</f>
        <v>0</v>
      </c>
    </row>
    <row r="5" spans="1:27" s="2" customFormat="1" ht="22" customHeight="1">
      <c r="C5" s="16" t="s">
        <v>1123</v>
      </c>
      <c r="D5" s="6"/>
      <c r="E5" s="6"/>
      <c r="F5" s="6"/>
      <c r="G5" s="6"/>
      <c r="H5" s="6"/>
      <c r="I5" s="6" t="str">
        <f>COUNTIFS(Input!$A$1:$A$1500,I$17,Input!$C$1:$C$1500,$C5,Input!$D$1:$D$1500,"R")&amp;"/"&amp;COUNTIFS(Input!$A$1:$A$1500,I$17,Input!$C$1:$C$1500,$C5)</f>
        <v>0/6</v>
      </c>
      <c r="J5" s="6"/>
      <c r="K5" s="6" t="str">
        <f>COUNTIFS(Input!$A$1:$A$1500,K$17,Input!$C$1:$C$1500,$C5,Input!$D$1:$D$1500,"R")&amp;"/"&amp;COUNTIFS(Input!$A$1:$A$1500,K$17,Input!$C$1:$C$1500,$C5)</f>
        <v>0/11</v>
      </c>
      <c r="L5" s="6" t="str">
        <f>COUNTIFS(Input!$A$1:$A$1500,L$17,Input!$C$1:$C$1500,$C5,Input!$D$1:$D$1500,"R")&amp;"/"&amp;COUNTIFS(Input!$A$1:$A$1500,L$17,Input!$C$1:$C$1500,$C5)</f>
        <v>0/40</v>
      </c>
      <c r="M5" s="6" t="str">
        <f>COUNTIFS(Input!$A$1:$A$1500,M$17,Input!$C$1:$C$1500,$C5,Input!$D$1:$D$1500,"R")&amp;"/"&amp;COUNTIFS(Input!$A$1:$A$1500,M$17,Input!$C$1:$C$1500,$C5)</f>
        <v>0/12</v>
      </c>
      <c r="N5" s="6"/>
      <c r="O5" s="6" t="str">
        <f>COUNTIFS(Input!$A$1:$A$1500,O$17,Input!$C$1:$C$1500,$C5,Input!$D$1:$D$1500,"R")&amp;"/"&amp;COUNTIFS(Input!$A$1:$A$1500,O$17,Input!$C$1:$C$1500,$C5)</f>
        <v>0/24</v>
      </c>
      <c r="P5" s="17" t="e">
        <f>COUNTIFS(Input!$A$1:$A$1500,D$17,Input!$C$1:$C$1500,$C5,Input!$D$1:$D$1500,"R")/COUNTIFS(Input!$A$1:$A$1500,D$17,Input!$C$1:$C$1500,$C5)</f>
        <v>#DIV/0!</v>
      </c>
      <c r="Q5" s="17" t="e">
        <f>COUNTIFS(Input!$A$1:$A$1500,E$17,Input!$C$1:$C$1500,$C5,Input!$D$1:$D$1500,"R")/COUNTIFS(Input!$A$1:$A$1500,E$17,Input!$C$1:$C$1500,$C5)</f>
        <v>#DIV/0!</v>
      </c>
      <c r="R5" s="17" t="e">
        <f>COUNTIFS(Input!$A$1:$A$1500,F$17,Input!$C$1:$C$1500,$C5,Input!$D$1:$D$1500,"R")/COUNTIFS(Input!$A$1:$A$1500,F$17,Input!$C$1:$C$1500,$C5)</f>
        <v>#DIV/0!</v>
      </c>
      <c r="S5" s="17" t="e">
        <f>COUNTIFS(Input!$A$1:$A$1500,G$17,Input!$C$1:$C$1500,$C5,Input!$D$1:$D$1500,"R")/COUNTIFS(Input!$A$1:$A$1500,G$17,Input!$C$1:$C$1500,$C5)</f>
        <v>#DIV/0!</v>
      </c>
      <c r="T5" s="17" t="e">
        <f>COUNTIFS(Input!$A$1:$A$1500,H$17,Input!$C$1:$C$1500,$C5,Input!$D$1:$D$1500,"R")/COUNTIFS(Input!$A$1:$A$1500,H$17,Input!$C$1:$C$1500,$C5)</f>
        <v>#DIV/0!</v>
      </c>
      <c r="U5" s="17">
        <f>COUNTIFS(Input!$A$1:$A$1500,I$17,Input!$C$1:$C$1500,$C5,Input!$D$1:$D$1500,"R")/COUNTIFS(Input!$A$1:$A$1500,I$17,Input!$C$1:$C$1500,$C5)</f>
        <v>0</v>
      </c>
      <c r="V5" s="17" t="e">
        <f>COUNTIFS(Input!$A$1:$A$1500,J$17,Input!$C$1:$C$1500,$C5,Input!$D$1:$D$1500,"R")/COUNTIFS(Input!$A$1:$A$1500,J$17,Input!$C$1:$C$1500,$C5)</f>
        <v>#DIV/0!</v>
      </c>
      <c r="W5" s="17">
        <f>COUNTIFS(Input!$A$1:$A$1500,K$17,Input!$C$1:$C$1500,$C5,Input!$D$1:$D$1500,"R")/COUNTIFS(Input!$A$1:$A$1500,K$17,Input!$C$1:$C$1500,$C5)</f>
        <v>0</v>
      </c>
      <c r="X5" s="17">
        <f>COUNTIFS(Input!$A$1:$A$1500,L$17,Input!$C$1:$C$1500,$C5,Input!$D$1:$D$1500,"R")/COUNTIFS(Input!$A$1:$A$1500,L$17,Input!$C$1:$C$1500,$C5)</f>
        <v>0</v>
      </c>
      <c r="Y5" s="17">
        <f>COUNTIFS(Input!$A$1:$A$1500,M$17,Input!$C$1:$C$1500,$C5,Input!$D$1:$D$1500,"R")/COUNTIFS(Input!$A$1:$A$1500,M$17,Input!$C$1:$C$1500,$C5)</f>
        <v>0</v>
      </c>
      <c r="Z5" s="17" t="e">
        <f>COUNTIFS(Input!$A$1:$A$1500,N$17,Input!$C$1:$C$1500,$C5,Input!$D$1:$D$1500,"R")/COUNTIFS(Input!$A$1:$A$1500,N$17,Input!$C$1:$C$1500,$C5)</f>
        <v>#DIV/0!</v>
      </c>
      <c r="AA5" s="17">
        <f>COUNTIFS(Input!$A$1:$A$1500,O$17,Input!$C$1:$C$1500,$C5,Input!$D$1:$D$1500,"R")/COUNTIFS(Input!$A$1:$A$1500,O$17,Input!$C$1:$C$1500,$C5)</f>
        <v>0</v>
      </c>
    </row>
    <row r="6" spans="1:27" s="2" customFormat="1" ht="22" customHeight="1">
      <c r="C6" s="16" t="s">
        <v>1022</v>
      </c>
      <c r="D6" s="6"/>
      <c r="E6" s="6"/>
      <c r="F6" s="6"/>
      <c r="G6" s="6"/>
      <c r="H6" s="6"/>
      <c r="I6" s="6" t="str">
        <f>COUNTIFS(Input!$A$1:$A$1500,I$17,Input!$C$1:$C$1500,$C6,Input!$D$1:$D$1500,"R")&amp;"/"&amp;COUNTIFS(Input!$A$1:$A$1500,I$17,Input!$C$1:$C$1500,$C6)</f>
        <v>0/10</v>
      </c>
      <c r="J6" s="6"/>
      <c r="K6" s="6" t="str">
        <f>COUNTIFS(Input!$A$1:$A$1500,K$17,Input!$C$1:$C$1500,$C6,Input!$D$1:$D$1500,"R")&amp;"/"&amp;COUNTIFS(Input!$A$1:$A$1500,K$17,Input!$C$1:$C$1500,$C6)</f>
        <v>0/13</v>
      </c>
      <c r="L6" s="6" t="str">
        <f>COUNTIFS(Input!$A$1:$A$1500,L$17,Input!$C$1:$C$1500,$C6,Input!$D$1:$D$1500,"R")&amp;"/"&amp;COUNTIFS(Input!$A$1:$A$1500,L$17,Input!$C$1:$C$1500,$C6)</f>
        <v>0/29</v>
      </c>
      <c r="M6" s="6" t="str">
        <f>COUNTIFS(Input!$A$1:$A$1500,M$17,Input!$C$1:$C$1500,$C6,Input!$D$1:$D$1500,"R")&amp;"/"&amp;COUNTIFS(Input!$A$1:$A$1500,M$17,Input!$C$1:$C$1500,$C6)</f>
        <v>0/18</v>
      </c>
      <c r="N6" s="6"/>
      <c r="O6" s="6" t="str">
        <f>COUNTIFS(Input!$A$1:$A$1500,O$17,Input!$C$1:$C$1500,$C6,Input!$D$1:$D$1500,"R")&amp;"/"&amp;COUNTIFS(Input!$A$1:$A$1500,O$17,Input!$C$1:$C$1500,$C6)</f>
        <v>0/17</v>
      </c>
      <c r="P6" s="17" t="e">
        <f>COUNTIFS(Input!$A$1:$A$1500,D$17,Input!$C$1:$C$1500,$C6,Input!$D$1:$D$1500,"R")/COUNTIFS(Input!$A$1:$A$1500,D$17,Input!$C$1:$C$1500,$C6)</f>
        <v>#DIV/0!</v>
      </c>
      <c r="Q6" s="17" t="e">
        <f>COUNTIFS(Input!$A$1:$A$1500,E$17,Input!$C$1:$C$1500,$C6,Input!$D$1:$D$1500,"R")/COUNTIFS(Input!$A$1:$A$1500,E$17,Input!$C$1:$C$1500,$C6)</f>
        <v>#DIV/0!</v>
      </c>
      <c r="R6" s="17" t="e">
        <f>COUNTIFS(Input!$A$1:$A$1500,F$17,Input!$C$1:$C$1500,$C6,Input!$D$1:$D$1500,"R")/COUNTIFS(Input!$A$1:$A$1500,F$17,Input!$C$1:$C$1500,$C6)</f>
        <v>#DIV/0!</v>
      </c>
      <c r="S6" s="17" t="e">
        <f>COUNTIFS(Input!$A$1:$A$1500,G$17,Input!$C$1:$C$1500,$C6,Input!$D$1:$D$1500,"R")/COUNTIFS(Input!$A$1:$A$1500,G$17,Input!$C$1:$C$1500,$C6)</f>
        <v>#DIV/0!</v>
      </c>
      <c r="T6" s="17" t="e">
        <f>COUNTIFS(Input!$A$1:$A$1500,H$17,Input!$C$1:$C$1500,$C6,Input!$D$1:$D$1500,"R")/COUNTIFS(Input!$A$1:$A$1500,H$17,Input!$C$1:$C$1500,$C6)</f>
        <v>#DIV/0!</v>
      </c>
      <c r="U6" s="17">
        <f>COUNTIFS(Input!$A$1:$A$1500,I$17,Input!$C$1:$C$1500,$C6,Input!$D$1:$D$1500,"R")/COUNTIFS(Input!$A$1:$A$1500,I$17,Input!$C$1:$C$1500,$C6)</f>
        <v>0</v>
      </c>
      <c r="V6" s="17" t="e">
        <f>COUNTIFS(Input!$A$1:$A$1500,J$17,Input!$C$1:$C$1500,$C6,Input!$D$1:$D$1500,"R")/COUNTIFS(Input!$A$1:$A$1500,J$17,Input!$C$1:$C$1500,$C6)</f>
        <v>#DIV/0!</v>
      </c>
      <c r="W6" s="17">
        <f>COUNTIFS(Input!$A$1:$A$1500,K$17,Input!$C$1:$C$1500,$C6,Input!$D$1:$D$1500,"R")/COUNTIFS(Input!$A$1:$A$1500,K$17,Input!$C$1:$C$1500,$C6)</f>
        <v>0</v>
      </c>
      <c r="X6" s="17">
        <f>COUNTIFS(Input!$A$1:$A$1500,L$17,Input!$C$1:$C$1500,$C6,Input!$D$1:$D$1500,"R")/COUNTIFS(Input!$A$1:$A$1500,L$17,Input!$C$1:$C$1500,$C6)</f>
        <v>0</v>
      </c>
      <c r="Y6" s="17">
        <f>COUNTIFS(Input!$A$1:$A$1500,M$17,Input!$C$1:$C$1500,$C6,Input!$D$1:$D$1500,"R")/COUNTIFS(Input!$A$1:$A$1500,M$17,Input!$C$1:$C$1500,$C6)</f>
        <v>0</v>
      </c>
      <c r="Z6" s="17" t="e">
        <f>COUNTIFS(Input!$A$1:$A$1500,N$17,Input!$C$1:$C$1500,$C6,Input!$D$1:$D$1500,"R")/COUNTIFS(Input!$A$1:$A$1500,N$17,Input!$C$1:$C$1500,$C6)</f>
        <v>#DIV/0!</v>
      </c>
      <c r="AA6" s="17">
        <f>COUNTIFS(Input!$A$1:$A$1500,O$17,Input!$C$1:$C$1500,$C6,Input!$D$1:$D$1500,"R")/COUNTIFS(Input!$A$1:$A$1500,O$17,Input!$C$1:$C$1500,$C6)</f>
        <v>0</v>
      </c>
    </row>
    <row r="7" spans="1:27" s="2" customFormat="1" ht="22" customHeight="1">
      <c r="C7" s="16" t="s">
        <v>938</v>
      </c>
      <c r="D7" s="6"/>
      <c r="E7" s="6"/>
      <c r="F7" s="6"/>
      <c r="G7" s="6" t="str">
        <f>COUNTIFS(Input!$A$1:$A$1500,G$17,Input!$C$1:$C$1500,$C7,Input!$D$1:$D$1500,"R")&amp;"/"&amp;COUNTIFS(Input!$A$1:$A$1500,G$17,Input!$C$1:$C$1500,$C7)</f>
        <v>0/2</v>
      </c>
      <c r="H7" s="6" t="str">
        <f>COUNTIFS(Input!$A$1:$A$1500,H$17,Input!$C$1:$C$1500,$C7,Input!$D$1:$D$1500,"R")&amp;"/"&amp;COUNTIFS(Input!$A$1:$A$1500,H$17,Input!$C$1:$C$1500,$C7)</f>
        <v>0/1</v>
      </c>
      <c r="I7" s="6" t="str">
        <f>COUNTIFS(Input!$A$1:$A$1500,I$17,Input!$C$1:$C$1500,$C7,Input!$D$1:$D$1500,"R")&amp;"/"&amp;COUNTIFS(Input!$A$1:$A$1500,I$17,Input!$C$1:$C$1500,$C7)</f>
        <v>0/6</v>
      </c>
      <c r="J7" s="6"/>
      <c r="K7" s="6" t="str">
        <f>COUNTIFS(Input!$A$1:$A$1500,K$17,Input!$C$1:$C$1500,$C7,Input!$D$1:$D$1500,"R")&amp;"/"&amp;COUNTIFS(Input!$A$1:$A$1500,K$17,Input!$C$1:$C$1500,$C7)</f>
        <v>0/7</v>
      </c>
      <c r="L7" s="6" t="str">
        <f>COUNTIFS(Input!$A$1:$A$1500,L$17,Input!$C$1:$C$1500,$C7,Input!$D$1:$D$1500,"R")&amp;"/"&amp;COUNTIFS(Input!$A$1:$A$1500,L$17,Input!$C$1:$C$1500,$C7)</f>
        <v>0/22</v>
      </c>
      <c r="M7" s="6" t="str">
        <f>COUNTIFS(Input!$A$1:$A$1500,M$17,Input!$C$1:$C$1500,$C7,Input!$D$1:$D$1500,"R")&amp;"/"&amp;COUNTIFS(Input!$A$1:$A$1500,M$17,Input!$C$1:$C$1500,$C7)</f>
        <v>0/16</v>
      </c>
      <c r="N7" s="6"/>
      <c r="O7" s="6" t="str">
        <f>COUNTIFS(Input!$A$1:$A$1500,O$17,Input!$C$1:$C$1500,$C7,Input!$D$1:$D$1500,"R")&amp;"/"&amp;COUNTIFS(Input!$A$1:$A$1500,O$17,Input!$C$1:$C$1500,$C7)</f>
        <v>0/16</v>
      </c>
      <c r="P7" s="17" t="e">
        <f>COUNTIFS(Input!$A$1:$A$1500,D$17,Input!$C$1:$C$1500,$C7,Input!$D$1:$D$1500,"R")/COUNTIFS(Input!$A$1:$A$1500,D$17,Input!$C$1:$C$1500,$C7)</f>
        <v>#DIV/0!</v>
      </c>
      <c r="Q7" s="17" t="e">
        <f>COUNTIFS(Input!$A$1:$A$1500,E$17,Input!$C$1:$C$1500,$C7,Input!$D$1:$D$1500,"R")/COUNTIFS(Input!$A$1:$A$1500,E$17,Input!$C$1:$C$1500,$C7)</f>
        <v>#DIV/0!</v>
      </c>
      <c r="R7" s="17" t="e">
        <f>COUNTIFS(Input!$A$1:$A$1500,F$17,Input!$C$1:$C$1500,$C7,Input!$D$1:$D$1500,"R")/COUNTIFS(Input!$A$1:$A$1500,F$17,Input!$C$1:$C$1500,$C7)</f>
        <v>#DIV/0!</v>
      </c>
      <c r="S7" s="17">
        <f>COUNTIFS(Input!$A$1:$A$1500,G$17,Input!$C$1:$C$1500,$C7,Input!$D$1:$D$1500,"R")/COUNTIFS(Input!$A$1:$A$1500,G$17,Input!$C$1:$C$1500,$C7)</f>
        <v>0</v>
      </c>
      <c r="T7" s="17">
        <f>COUNTIFS(Input!$A$1:$A$1500,H$17,Input!$C$1:$C$1500,$C7,Input!$D$1:$D$1500,"R")/COUNTIFS(Input!$A$1:$A$1500,H$17,Input!$C$1:$C$1500,$C7)</f>
        <v>0</v>
      </c>
      <c r="U7" s="17">
        <f>COUNTIFS(Input!$A$1:$A$1500,I$17,Input!$C$1:$C$1500,$C7,Input!$D$1:$D$1500,"R")/COUNTIFS(Input!$A$1:$A$1500,I$17,Input!$C$1:$C$1500,$C7)</f>
        <v>0</v>
      </c>
      <c r="V7" s="17" t="e">
        <f>COUNTIFS(Input!$A$1:$A$1500,J$17,Input!$C$1:$C$1500,$C7,Input!$D$1:$D$1500,"R")/COUNTIFS(Input!$A$1:$A$1500,J$17,Input!$C$1:$C$1500,$C7)</f>
        <v>#DIV/0!</v>
      </c>
      <c r="W7" s="17">
        <f>COUNTIFS(Input!$A$1:$A$1500,K$17,Input!$C$1:$C$1500,$C7,Input!$D$1:$D$1500,"R")/COUNTIFS(Input!$A$1:$A$1500,K$17,Input!$C$1:$C$1500,$C7)</f>
        <v>0</v>
      </c>
      <c r="X7" s="17">
        <f>COUNTIFS(Input!$A$1:$A$1500,L$17,Input!$C$1:$C$1500,$C7,Input!$D$1:$D$1500,"R")/COUNTIFS(Input!$A$1:$A$1500,L$17,Input!$C$1:$C$1500,$C7)</f>
        <v>0</v>
      </c>
      <c r="Y7" s="17">
        <f>COUNTIFS(Input!$A$1:$A$1500,M$17,Input!$C$1:$C$1500,$C7,Input!$D$1:$D$1500,"R")/COUNTIFS(Input!$A$1:$A$1500,M$17,Input!$C$1:$C$1500,$C7)</f>
        <v>0</v>
      </c>
      <c r="Z7" s="17" t="e">
        <f>COUNTIFS(Input!$A$1:$A$1500,N$17,Input!$C$1:$C$1500,$C7,Input!$D$1:$D$1500,"R")/COUNTIFS(Input!$A$1:$A$1500,N$17,Input!$C$1:$C$1500,$C7)</f>
        <v>#DIV/0!</v>
      </c>
      <c r="AA7" s="17">
        <f>COUNTIFS(Input!$A$1:$A$1500,O$17,Input!$C$1:$C$1500,$C7,Input!$D$1:$D$1500,"R")/COUNTIFS(Input!$A$1:$A$1500,O$17,Input!$C$1:$C$1500,$C7)</f>
        <v>0</v>
      </c>
    </row>
    <row r="8" spans="1:27" s="2" customFormat="1" ht="22" customHeight="1">
      <c r="C8" s="16" t="s">
        <v>870</v>
      </c>
      <c r="D8" s="6"/>
      <c r="E8" s="6"/>
      <c r="F8" s="6"/>
      <c r="G8" s="6" t="str">
        <f>COUNTIFS(Input!$A$1:$A$1500,G$17,Input!$C$1:$C$1500,$C8,Input!$D$1:$D$1500,"R")&amp;"/"&amp;COUNTIFS(Input!$A$1:$A$1500,G$17,Input!$C$1:$C$1500,$C8)</f>
        <v>0/1</v>
      </c>
      <c r="H8" s="6" t="str">
        <f>COUNTIFS(Input!$A$1:$A$1500,H$17,Input!$C$1:$C$1500,$C8,Input!$D$1:$D$1500,"R")&amp;"/"&amp;COUNTIFS(Input!$A$1:$A$1500,H$17,Input!$C$1:$C$1500,$C8)</f>
        <v>0/2</v>
      </c>
      <c r="I8" s="6" t="str">
        <f>COUNTIFS(Input!$A$1:$A$1500,I$17,Input!$C$1:$C$1500,$C8,Input!$D$1:$D$1500,"R")&amp;"/"&amp;COUNTIFS(Input!$A$1:$A$1500,I$17,Input!$C$1:$C$1500,$C8)</f>
        <v>0/6</v>
      </c>
      <c r="J8" s="6"/>
      <c r="K8" s="6" t="str">
        <f>COUNTIFS(Input!$A$1:$A$1500,K$17,Input!$C$1:$C$1500,$C8,Input!$D$1:$D$1500,"R")&amp;"/"&amp;COUNTIFS(Input!$A$1:$A$1500,K$17,Input!$C$1:$C$1500,$C8)</f>
        <v>0/9</v>
      </c>
      <c r="L8" s="6" t="str">
        <f>COUNTIFS(Input!$A$1:$A$1500,L$17,Input!$C$1:$C$1500,$C8,Input!$D$1:$D$1500,"R")&amp;"/"&amp;COUNTIFS(Input!$A$1:$A$1500,L$17,Input!$C$1:$C$1500,$C8)</f>
        <v>0/15</v>
      </c>
      <c r="M8" s="6" t="str">
        <f>COUNTIFS(Input!$A$1:$A$1500,M$17,Input!$C$1:$C$1500,$C8,Input!$D$1:$D$1500,"R")&amp;"/"&amp;COUNTIFS(Input!$A$1:$A$1500,M$17,Input!$C$1:$C$1500,$C8)</f>
        <v>0/12</v>
      </c>
      <c r="N8" s="6"/>
      <c r="O8" s="6" t="str">
        <f>COUNTIFS(Input!$A$1:$A$1500,O$17,Input!$C$1:$C$1500,$C8,Input!$D$1:$D$1500,"R")&amp;"/"&amp;COUNTIFS(Input!$A$1:$A$1500,O$17,Input!$C$1:$C$1500,$C8)</f>
        <v>0/10</v>
      </c>
      <c r="P8" s="17" t="e">
        <f>COUNTIFS(Input!$A$1:$A$1500,D$17,Input!$C$1:$C$1500,$C8,Input!$D$1:$D$1500,"R")/COUNTIFS(Input!$A$1:$A$1500,D$17,Input!$C$1:$C$1500,$C8)</f>
        <v>#DIV/0!</v>
      </c>
      <c r="Q8" s="17" t="e">
        <f>COUNTIFS(Input!$A$1:$A$1500,E$17,Input!$C$1:$C$1500,$C8,Input!$D$1:$D$1500,"R")/COUNTIFS(Input!$A$1:$A$1500,E$17,Input!$C$1:$C$1500,$C8)</f>
        <v>#DIV/0!</v>
      </c>
      <c r="R8" s="17" t="e">
        <f>COUNTIFS(Input!$A$1:$A$1500,F$17,Input!$C$1:$C$1500,$C8,Input!$D$1:$D$1500,"R")/COUNTIFS(Input!$A$1:$A$1500,F$17,Input!$C$1:$C$1500,$C8)</f>
        <v>#DIV/0!</v>
      </c>
      <c r="S8" s="17">
        <f>COUNTIFS(Input!$A$1:$A$1500,G$17,Input!$C$1:$C$1500,$C8,Input!$D$1:$D$1500,"R")/COUNTIFS(Input!$A$1:$A$1500,G$17,Input!$C$1:$C$1500,$C8)</f>
        <v>0</v>
      </c>
      <c r="T8" s="17">
        <f>COUNTIFS(Input!$A$1:$A$1500,H$17,Input!$C$1:$C$1500,$C8,Input!$D$1:$D$1500,"R")/COUNTIFS(Input!$A$1:$A$1500,H$17,Input!$C$1:$C$1500,$C8)</f>
        <v>0</v>
      </c>
      <c r="U8" s="17">
        <f>COUNTIFS(Input!$A$1:$A$1500,I$17,Input!$C$1:$C$1500,$C8,Input!$D$1:$D$1500,"R")/COUNTIFS(Input!$A$1:$A$1500,I$17,Input!$C$1:$C$1500,$C8)</f>
        <v>0</v>
      </c>
      <c r="V8" s="17" t="e">
        <f>COUNTIFS(Input!$A$1:$A$1500,J$17,Input!$C$1:$C$1500,$C8,Input!$D$1:$D$1500,"R")/COUNTIFS(Input!$A$1:$A$1500,J$17,Input!$C$1:$C$1500,$C8)</f>
        <v>#DIV/0!</v>
      </c>
      <c r="W8" s="17">
        <f>COUNTIFS(Input!$A$1:$A$1500,K$17,Input!$C$1:$C$1500,$C8,Input!$D$1:$D$1500,"R")/COUNTIFS(Input!$A$1:$A$1500,K$17,Input!$C$1:$C$1500,$C8)</f>
        <v>0</v>
      </c>
      <c r="X8" s="17">
        <f>COUNTIFS(Input!$A$1:$A$1500,L$17,Input!$C$1:$C$1500,$C8,Input!$D$1:$D$1500,"R")/COUNTIFS(Input!$A$1:$A$1500,L$17,Input!$C$1:$C$1500,$C8)</f>
        <v>0</v>
      </c>
      <c r="Y8" s="17">
        <f>COUNTIFS(Input!$A$1:$A$1500,M$17,Input!$C$1:$C$1500,$C8,Input!$D$1:$D$1500,"R")/COUNTIFS(Input!$A$1:$A$1500,M$17,Input!$C$1:$C$1500,$C8)</f>
        <v>0</v>
      </c>
      <c r="Z8" s="17" t="e">
        <f>COUNTIFS(Input!$A$1:$A$1500,N$17,Input!$C$1:$C$1500,$C8,Input!$D$1:$D$1500,"R")/COUNTIFS(Input!$A$1:$A$1500,N$17,Input!$C$1:$C$1500,$C8)</f>
        <v>#DIV/0!</v>
      </c>
      <c r="AA8" s="17">
        <f>COUNTIFS(Input!$A$1:$A$1500,O$17,Input!$C$1:$C$1500,$C8,Input!$D$1:$D$1500,"R")/COUNTIFS(Input!$A$1:$A$1500,O$17,Input!$C$1:$C$1500,$C8)</f>
        <v>0</v>
      </c>
    </row>
    <row r="9" spans="1:27" s="2" customFormat="1" ht="22" customHeight="1">
      <c r="C9" s="16" t="s">
        <v>747</v>
      </c>
      <c r="D9" s="6"/>
      <c r="E9" s="6"/>
      <c r="F9" s="6"/>
      <c r="G9" s="6" t="str">
        <f>COUNTIFS(Input!$A$1:$A$1500,G$17,Input!$C$1:$C$1500,$C9,Input!$D$1:$D$1500,"R")&amp;"/"&amp;COUNTIFS(Input!$A$1:$A$1500,G$17,Input!$C$1:$C$1500,$C9)</f>
        <v>0/1</v>
      </c>
      <c r="H9" s="6" t="str">
        <f>COUNTIFS(Input!$A$1:$A$1500,H$17,Input!$C$1:$C$1500,$C9,Input!$D$1:$D$1500,"R")&amp;"/"&amp;COUNTIFS(Input!$A$1:$A$1500,H$17,Input!$C$1:$C$1500,$C9)</f>
        <v>0/4</v>
      </c>
      <c r="I9" s="6" t="str">
        <f>COUNTIFS(Input!$A$1:$A$1500,I$17,Input!$C$1:$C$1500,$C9,Input!$D$1:$D$1500,"R")&amp;"/"&amp;COUNTIFS(Input!$A$1:$A$1500,I$17,Input!$C$1:$C$1500,$C9)</f>
        <v>0/6</v>
      </c>
      <c r="J9" s="6" t="str">
        <f>COUNTIFS(Input!$A$1:$A$1500,J$17,Input!$C$1:$C$1500,$C9,Input!$D$1:$D$1500,"R")&amp;"/"&amp;COUNTIFS(Input!$A$1:$A$1500,J$17,Input!$C$1:$C$1500,$C9)</f>
        <v>0/6</v>
      </c>
      <c r="K9" s="6" t="str">
        <f>COUNTIFS(Input!$A$1:$A$1500,K$17,Input!$C$1:$C$1500,$C9,Input!$D$1:$D$1500,"R")&amp;"/"&amp;COUNTIFS(Input!$A$1:$A$1500,K$17,Input!$C$1:$C$1500,$C9)</f>
        <v>0/10</v>
      </c>
      <c r="L9" s="6" t="str">
        <f>COUNTIFS(Input!$A$1:$A$1500,L$17,Input!$C$1:$C$1500,$C9,Input!$D$1:$D$1500,"R")&amp;"/"&amp;COUNTIFS(Input!$A$1:$A$1500,L$17,Input!$C$1:$C$1500,$C9)</f>
        <v>0/38</v>
      </c>
      <c r="M9" s="6" t="str">
        <f>COUNTIFS(Input!$A$1:$A$1500,M$17,Input!$C$1:$C$1500,$C9,Input!$D$1:$D$1500,"R")&amp;"/"&amp;COUNTIFS(Input!$A$1:$A$1500,M$17,Input!$C$1:$C$1500,$C9)</f>
        <v>0/16</v>
      </c>
      <c r="N9" s="6" t="str">
        <f>COUNTIFS(Input!$A$1:$A$1500,N$17,Input!$C$1:$C$1500,$C9,Input!$D$1:$D$1500,"R")&amp;"/"&amp;COUNTIFS(Input!$A$1:$A$1500,N$17,Input!$C$1:$C$1500,$C9)</f>
        <v>0/3</v>
      </c>
      <c r="O9" s="6" t="str">
        <f>COUNTIFS(Input!$A$1:$A$1500,O$17,Input!$C$1:$C$1500,$C9,Input!$D$1:$D$1500,"R")&amp;"/"&amp;COUNTIFS(Input!$A$1:$A$1500,O$17,Input!$C$1:$C$1500,$C9)</f>
        <v>0/19</v>
      </c>
      <c r="P9" s="17" t="e">
        <f>COUNTIFS(Input!$A$1:$A$1500,D$17,Input!$C$1:$C$1500,$C9,Input!$D$1:$D$1500,"R")/COUNTIFS(Input!$A$1:$A$1500,D$17,Input!$C$1:$C$1500,$C9)</f>
        <v>#DIV/0!</v>
      </c>
      <c r="Q9" s="17" t="e">
        <f>COUNTIFS(Input!$A$1:$A$1500,E$17,Input!$C$1:$C$1500,$C9,Input!$D$1:$D$1500,"R")/COUNTIFS(Input!$A$1:$A$1500,E$17,Input!$C$1:$C$1500,$C9)</f>
        <v>#DIV/0!</v>
      </c>
      <c r="R9" s="17" t="e">
        <f>COUNTIFS(Input!$A$1:$A$1500,F$17,Input!$C$1:$C$1500,$C9,Input!$D$1:$D$1500,"R")/COUNTIFS(Input!$A$1:$A$1500,F$17,Input!$C$1:$C$1500,$C9)</f>
        <v>#DIV/0!</v>
      </c>
      <c r="S9" s="17">
        <f>COUNTIFS(Input!$A$1:$A$1500,G$17,Input!$C$1:$C$1500,$C9,Input!$D$1:$D$1500,"R")/COUNTIFS(Input!$A$1:$A$1500,G$17,Input!$C$1:$C$1500,$C9)</f>
        <v>0</v>
      </c>
      <c r="T9" s="17">
        <f>COUNTIFS(Input!$A$1:$A$1500,H$17,Input!$C$1:$C$1500,$C9,Input!$D$1:$D$1500,"R")/COUNTIFS(Input!$A$1:$A$1500,H$17,Input!$C$1:$C$1500,$C9)</f>
        <v>0</v>
      </c>
      <c r="U9" s="17">
        <f>COUNTIFS(Input!$A$1:$A$1500,I$17,Input!$C$1:$C$1500,$C9,Input!$D$1:$D$1500,"R")/COUNTIFS(Input!$A$1:$A$1500,I$17,Input!$C$1:$C$1500,$C9)</f>
        <v>0</v>
      </c>
      <c r="V9" s="17">
        <f>COUNTIFS(Input!$A$1:$A$1500,J$17,Input!$C$1:$C$1500,$C9,Input!$D$1:$D$1500,"R")/COUNTIFS(Input!$A$1:$A$1500,J$17,Input!$C$1:$C$1500,$C9)</f>
        <v>0</v>
      </c>
      <c r="W9" s="17">
        <f>COUNTIFS(Input!$A$1:$A$1500,K$17,Input!$C$1:$C$1500,$C9,Input!$D$1:$D$1500,"R")/COUNTIFS(Input!$A$1:$A$1500,K$17,Input!$C$1:$C$1500,$C9)</f>
        <v>0</v>
      </c>
      <c r="X9" s="17">
        <f>COUNTIFS(Input!$A$1:$A$1500,L$17,Input!$C$1:$C$1500,$C9,Input!$D$1:$D$1500,"R")/COUNTIFS(Input!$A$1:$A$1500,L$17,Input!$C$1:$C$1500,$C9)</f>
        <v>0</v>
      </c>
      <c r="Y9" s="17">
        <f>COUNTIFS(Input!$A$1:$A$1500,M$17,Input!$C$1:$C$1500,$C9,Input!$D$1:$D$1500,"R")/COUNTIFS(Input!$A$1:$A$1500,M$17,Input!$C$1:$C$1500,$C9)</f>
        <v>0</v>
      </c>
      <c r="Z9" s="17">
        <f>COUNTIFS(Input!$A$1:$A$1500,N$17,Input!$C$1:$C$1500,$C9,Input!$D$1:$D$1500,"R")/COUNTIFS(Input!$A$1:$A$1500,N$17,Input!$C$1:$C$1500,$C9)</f>
        <v>0</v>
      </c>
      <c r="AA9" s="17">
        <f>COUNTIFS(Input!$A$1:$A$1500,O$17,Input!$C$1:$C$1500,$C9,Input!$D$1:$D$1500,"R")/COUNTIFS(Input!$A$1:$A$1500,O$17,Input!$C$1:$C$1500,$C9)</f>
        <v>0</v>
      </c>
    </row>
    <row r="10" spans="1:27" s="2" customFormat="1" ht="22" customHeight="1">
      <c r="C10" s="16" t="s">
        <v>637</v>
      </c>
      <c r="D10" s="6"/>
      <c r="E10" s="6"/>
      <c r="F10" s="6"/>
      <c r="G10" s="6" t="str">
        <f>COUNTIFS(Input!$A$1:$A$1500,G$17,Input!$C$1:$C$1500,$C10,Input!$D$1:$D$1500,"R")&amp;"/"&amp;COUNTIFS(Input!$A$1:$A$1500,G$17,Input!$C$1:$C$1500,$C10)</f>
        <v>0/9</v>
      </c>
      <c r="H10" s="6" t="str">
        <f>COUNTIFS(Input!$A$1:$A$1500,H$17,Input!$C$1:$C$1500,$C10,Input!$D$1:$D$1500,"R")&amp;"/"&amp;COUNTIFS(Input!$A$1:$A$1500,H$17,Input!$C$1:$C$1500,$C10)</f>
        <v>0/3</v>
      </c>
      <c r="I10" s="6" t="str">
        <f>COUNTIFS(Input!$A$1:$A$1500,I$17,Input!$C$1:$C$1500,$C10,Input!$D$1:$D$1500,"R")&amp;"/"&amp;COUNTIFS(Input!$A$1:$A$1500,I$17,Input!$C$1:$C$1500,$C10)</f>
        <v>0/4</v>
      </c>
      <c r="J10" s="6" t="str">
        <f>COUNTIFS(Input!$A$1:$A$1500,J$17,Input!$C$1:$C$1500,$C10,Input!$D$1:$D$1500,"R")&amp;"/"&amp;COUNTIFS(Input!$A$1:$A$1500,J$17,Input!$C$1:$C$1500,$C10)</f>
        <v>0/6</v>
      </c>
      <c r="K10" s="6" t="str">
        <f>COUNTIFS(Input!$A$1:$A$1500,K$17,Input!$C$1:$C$1500,$C10,Input!$D$1:$D$1500,"R")&amp;"/"&amp;COUNTIFS(Input!$A$1:$A$1500,K$17,Input!$C$1:$C$1500,$C10)</f>
        <v>0/11</v>
      </c>
      <c r="L10" s="6" t="str">
        <f>COUNTIFS(Input!$A$1:$A$1500,L$17,Input!$C$1:$C$1500,$C10,Input!$D$1:$D$1500,"R")&amp;"/"&amp;COUNTIFS(Input!$A$1:$A$1500,L$17,Input!$C$1:$C$1500,$C10)</f>
        <v>0/18</v>
      </c>
      <c r="M10" s="6" t="str">
        <f>COUNTIFS(Input!$A$1:$A$1500,M$17,Input!$C$1:$C$1500,$C10,Input!$D$1:$D$1500,"R")&amp;"/"&amp;COUNTIFS(Input!$A$1:$A$1500,M$17,Input!$C$1:$C$1500,$C10)</f>
        <v>0/11</v>
      </c>
      <c r="N10" s="6" t="str">
        <f>COUNTIFS(Input!$A$1:$A$1500,N$17,Input!$C$1:$C$1500,$C10,Input!$D$1:$D$1500,"R")&amp;"/"&amp;COUNTIFS(Input!$A$1:$A$1500,N$17,Input!$C$1:$C$1500,$C10)</f>
        <v>0/8</v>
      </c>
      <c r="O10" s="6" t="str">
        <f>COUNTIFS(Input!$A$1:$A$1500,O$17,Input!$C$1:$C$1500,$C10,Input!$D$1:$D$1500,"R")&amp;"/"&amp;COUNTIFS(Input!$A$1:$A$1500,O$17,Input!$C$1:$C$1500,$C10)</f>
        <v>0/19</v>
      </c>
      <c r="P10" s="17" t="e">
        <f>COUNTIFS(Input!$A$1:$A$1500,D$17,Input!$C$1:$C$1500,$C10,Input!$D$1:$D$1500,"R")/COUNTIFS(Input!$A$1:$A$1500,D$17,Input!$C$1:$C$1500,$C10)</f>
        <v>#DIV/0!</v>
      </c>
      <c r="Q10" s="17" t="e">
        <f>COUNTIFS(Input!$A$1:$A$1500,E$17,Input!$C$1:$C$1500,$C10,Input!$D$1:$D$1500,"R")/COUNTIFS(Input!$A$1:$A$1500,E$17,Input!$C$1:$C$1500,$C10)</f>
        <v>#DIV/0!</v>
      </c>
      <c r="R10" s="17" t="e">
        <f>COUNTIFS(Input!$A$1:$A$1500,F$17,Input!$C$1:$C$1500,$C10,Input!$D$1:$D$1500,"R")/COUNTIFS(Input!$A$1:$A$1500,F$17,Input!$C$1:$C$1500,$C10)</f>
        <v>#DIV/0!</v>
      </c>
      <c r="S10" s="17">
        <f>COUNTIFS(Input!$A$1:$A$1500,G$17,Input!$C$1:$C$1500,$C10,Input!$D$1:$D$1500,"R")/COUNTIFS(Input!$A$1:$A$1500,G$17,Input!$C$1:$C$1500,$C10)</f>
        <v>0</v>
      </c>
      <c r="T10" s="17">
        <f>COUNTIFS(Input!$A$1:$A$1500,H$17,Input!$C$1:$C$1500,$C10,Input!$D$1:$D$1500,"R")/COUNTIFS(Input!$A$1:$A$1500,H$17,Input!$C$1:$C$1500,$C10)</f>
        <v>0</v>
      </c>
      <c r="U10" s="17">
        <f>COUNTIFS(Input!$A$1:$A$1500,I$17,Input!$C$1:$C$1500,$C10,Input!$D$1:$D$1500,"R")/COUNTIFS(Input!$A$1:$A$1500,I$17,Input!$C$1:$C$1500,$C10)</f>
        <v>0</v>
      </c>
      <c r="V10" s="17">
        <f>COUNTIFS(Input!$A$1:$A$1500,J$17,Input!$C$1:$C$1500,$C10,Input!$D$1:$D$1500,"R")/COUNTIFS(Input!$A$1:$A$1500,J$17,Input!$C$1:$C$1500,$C10)</f>
        <v>0</v>
      </c>
      <c r="W10" s="17">
        <f>COUNTIFS(Input!$A$1:$A$1500,K$17,Input!$C$1:$C$1500,$C10,Input!$D$1:$D$1500,"R")/COUNTIFS(Input!$A$1:$A$1500,K$17,Input!$C$1:$C$1500,$C10)</f>
        <v>0</v>
      </c>
      <c r="X10" s="17">
        <f>COUNTIFS(Input!$A$1:$A$1500,L$17,Input!$C$1:$C$1500,$C10,Input!$D$1:$D$1500,"R")/COUNTIFS(Input!$A$1:$A$1500,L$17,Input!$C$1:$C$1500,$C10)</f>
        <v>0</v>
      </c>
      <c r="Y10" s="17">
        <f>COUNTIFS(Input!$A$1:$A$1500,M$17,Input!$C$1:$C$1500,$C10,Input!$D$1:$D$1500,"R")/COUNTIFS(Input!$A$1:$A$1500,M$17,Input!$C$1:$C$1500,$C10)</f>
        <v>0</v>
      </c>
      <c r="Z10" s="17">
        <f>COUNTIFS(Input!$A$1:$A$1500,N$17,Input!$C$1:$C$1500,$C10,Input!$D$1:$D$1500,"R")/COUNTIFS(Input!$A$1:$A$1500,N$17,Input!$C$1:$C$1500,$C10)</f>
        <v>0</v>
      </c>
      <c r="AA10" s="17">
        <f>COUNTIFS(Input!$A$1:$A$1500,O$17,Input!$C$1:$C$1500,$C10,Input!$D$1:$D$1500,"R")/COUNTIFS(Input!$A$1:$A$1500,O$17,Input!$C$1:$C$1500,$C10)</f>
        <v>0</v>
      </c>
    </row>
    <row r="11" spans="1:27" s="2" customFormat="1" ht="22" customHeight="1">
      <c r="C11" s="16" t="s">
        <v>487</v>
      </c>
      <c r="D11" s="6" t="str">
        <f>COUNTIFS(Input!$A$1:$A$1500,D$17,Input!$C$1:$C$1500,$C11,Input!$D$1:$D$1500,"R")&amp;"/"&amp;COUNTIFS(Input!$A$1:$A$1500,D$17,Input!$C$1:$C$1500,$C11)</f>
        <v>0/6</v>
      </c>
      <c r="E11" s="6" t="str">
        <f>COUNTIFS(Input!$A$1:$A$1500,E$17,Input!$C$1:$C$1500,$C11,Input!$D$1:$D$1500,"R")&amp;"/"&amp;COUNTIFS(Input!$A$1:$A$1500,E$17,Input!$C$1:$C$1500,$C11)</f>
        <v>0/5</v>
      </c>
      <c r="F11" s="6" t="str">
        <f>COUNTIFS(Input!$A$1:$A$1500,F$17,Input!$C$1:$C$1500,$C11,Input!$D$1:$D$1500,"R")&amp;"/"&amp;COUNTIFS(Input!$A$1:$A$1500,F$17,Input!$C$1:$C$1500,$C11)</f>
        <v>0/4</v>
      </c>
      <c r="G11" s="6" t="str">
        <f>COUNTIFS(Input!$A$1:$A$1500,G$17,Input!$C$1:$C$1500,$C11,Input!$D$1:$D$1500,"R")&amp;"/"&amp;COUNTIFS(Input!$A$1:$A$1500,G$17,Input!$C$1:$C$1500,$C11)</f>
        <v>0/12</v>
      </c>
      <c r="H11" s="6" t="str">
        <f>COUNTIFS(Input!$A$1:$A$1500,H$17,Input!$C$1:$C$1500,$C11,Input!$D$1:$D$1500,"R")&amp;"/"&amp;COUNTIFS(Input!$A$1:$A$1500,H$17,Input!$C$1:$C$1500,$C11)</f>
        <v>0/8</v>
      </c>
      <c r="I11" s="6" t="str">
        <f>COUNTIFS(Input!$A$1:$A$1500,I$17,Input!$C$1:$C$1500,$C11,Input!$D$1:$D$1500,"R")&amp;"/"&amp;COUNTIFS(Input!$A$1:$A$1500,I$17,Input!$C$1:$C$1500,$C11)</f>
        <v>0/10</v>
      </c>
      <c r="J11" s="6" t="str">
        <f>COUNTIFS(Input!$A$1:$A$1500,J$17,Input!$C$1:$C$1500,$C11,Input!$D$1:$D$1500,"R")&amp;"/"&amp;COUNTIFS(Input!$A$1:$A$1500,J$17,Input!$C$1:$C$1500,$C11)</f>
        <v>0/7</v>
      </c>
      <c r="K11" s="6" t="str">
        <f>COUNTIFS(Input!$A$1:$A$1500,K$17,Input!$C$1:$C$1500,$C11,Input!$D$1:$D$1500,"R")&amp;"/"&amp;COUNTIFS(Input!$A$1:$A$1500,K$17,Input!$C$1:$C$1500,$C11)</f>
        <v>0/6</v>
      </c>
      <c r="L11" s="6" t="str">
        <f>COUNTIFS(Input!$A$1:$A$1500,L$17,Input!$C$1:$C$1500,$C11,Input!$D$1:$D$1500,"R")&amp;"/"&amp;COUNTIFS(Input!$A$1:$A$1500,L$17,Input!$C$1:$C$1500,$C11)</f>
        <v>0/35</v>
      </c>
      <c r="M11" s="6" t="str">
        <f>COUNTIFS(Input!$A$1:$A$1500,M$17,Input!$C$1:$C$1500,$C11,Input!$D$1:$D$1500,"R")&amp;"/"&amp;COUNTIFS(Input!$A$1:$A$1500,M$17,Input!$C$1:$C$1500,$C11)</f>
        <v>0/17</v>
      </c>
      <c r="N11" s="6" t="str">
        <f>COUNTIFS(Input!$A$1:$A$1500,N$17,Input!$C$1:$C$1500,$C11,Input!$D$1:$D$1500,"R")&amp;"/"&amp;COUNTIFS(Input!$A$1:$A$1500,N$17,Input!$C$1:$C$1500,$C11)</f>
        <v>0/6</v>
      </c>
      <c r="O11" s="6" t="str">
        <f>COUNTIFS(Input!$A$1:$A$1500,O$17,Input!$C$1:$C$1500,$C11,Input!$D$1:$D$1500,"R")&amp;"/"&amp;COUNTIFS(Input!$A$1:$A$1500,O$17,Input!$C$1:$C$1500,$C11)</f>
        <v>0/14</v>
      </c>
      <c r="P11" s="17">
        <f>COUNTIFS(Input!$A$1:$A$1500,D$17,Input!$C$1:$C$1500,$C11,Input!$D$1:$D$1500,"R")/COUNTIFS(Input!$A$1:$A$1500,D$17,Input!$C$1:$C$1500,$C11)</f>
        <v>0</v>
      </c>
      <c r="Q11" s="17">
        <f>COUNTIFS(Input!$A$1:$A$1500,E$17,Input!$C$1:$C$1500,$C11,Input!$D$1:$D$1500,"R")/COUNTIFS(Input!$A$1:$A$1500,E$17,Input!$C$1:$C$1500,$C11)</f>
        <v>0</v>
      </c>
      <c r="R11" s="17">
        <f>COUNTIFS(Input!$A$1:$A$1500,F$17,Input!$C$1:$C$1500,$C11,Input!$D$1:$D$1500,"R")/COUNTIFS(Input!$A$1:$A$1500,F$17,Input!$C$1:$C$1500,$C11)</f>
        <v>0</v>
      </c>
      <c r="S11" s="17">
        <f>COUNTIFS(Input!$A$1:$A$1500,G$17,Input!$C$1:$C$1500,$C11,Input!$D$1:$D$1500,"R")/COUNTIFS(Input!$A$1:$A$1500,G$17,Input!$C$1:$C$1500,$C11)</f>
        <v>0</v>
      </c>
      <c r="T11" s="17">
        <f>COUNTIFS(Input!$A$1:$A$1500,H$17,Input!$C$1:$C$1500,$C11,Input!$D$1:$D$1500,"R")/COUNTIFS(Input!$A$1:$A$1500,H$17,Input!$C$1:$C$1500,$C11)</f>
        <v>0</v>
      </c>
      <c r="U11" s="17">
        <f>COUNTIFS(Input!$A$1:$A$1500,I$17,Input!$C$1:$C$1500,$C11,Input!$D$1:$D$1500,"R")/COUNTIFS(Input!$A$1:$A$1500,I$17,Input!$C$1:$C$1500,$C11)</f>
        <v>0</v>
      </c>
      <c r="V11" s="17">
        <f>COUNTIFS(Input!$A$1:$A$1500,J$17,Input!$C$1:$C$1500,$C11,Input!$D$1:$D$1500,"R")/COUNTIFS(Input!$A$1:$A$1500,J$17,Input!$C$1:$C$1500,$C11)</f>
        <v>0</v>
      </c>
      <c r="W11" s="17">
        <f>COUNTIFS(Input!$A$1:$A$1500,K$17,Input!$C$1:$C$1500,$C11,Input!$D$1:$D$1500,"R")/COUNTIFS(Input!$A$1:$A$1500,K$17,Input!$C$1:$C$1500,$C11)</f>
        <v>0</v>
      </c>
      <c r="X11" s="17">
        <f>COUNTIFS(Input!$A$1:$A$1500,L$17,Input!$C$1:$C$1500,$C11,Input!$D$1:$D$1500,"R")/COUNTIFS(Input!$A$1:$A$1500,L$17,Input!$C$1:$C$1500,$C11)</f>
        <v>0</v>
      </c>
      <c r="Y11" s="17">
        <f>COUNTIFS(Input!$A$1:$A$1500,M$17,Input!$C$1:$C$1500,$C11,Input!$D$1:$D$1500,"R")/COUNTIFS(Input!$A$1:$A$1500,M$17,Input!$C$1:$C$1500,$C11)</f>
        <v>0</v>
      </c>
      <c r="Z11" s="17">
        <f>COUNTIFS(Input!$A$1:$A$1500,N$17,Input!$C$1:$C$1500,$C11,Input!$D$1:$D$1500,"R")/COUNTIFS(Input!$A$1:$A$1500,N$17,Input!$C$1:$C$1500,$C11)</f>
        <v>0</v>
      </c>
      <c r="AA11" s="17">
        <f>COUNTIFS(Input!$A$1:$A$1500,O$17,Input!$C$1:$C$1500,$C11,Input!$D$1:$D$1500,"R")/COUNTIFS(Input!$A$1:$A$1500,O$17,Input!$C$1:$C$1500,$C11)</f>
        <v>0</v>
      </c>
    </row>
    <row r="12" spans="1:27" s="2" customFormat="1" ht="22" customHeight="1">
      <c r="C12" s="16" t="s">
        <v>326</v>
      </c>
      <c r="D12" s="6" t="str">
        <f>COUNTIFS(Input!$A$1:$A$1500,D$17,Input!$C$1:$C$1500,$C12,Input!$D$1:$D$1500,"R")&amp;"/"&amp;COUNTIFS(Input!$A$1:$A$1500,D$17,Input!$C$1:$C$1500,$C12)</f>
        <v>0/15</v>
      </c>
      <c r="E12" s="6" t="str">
        <f>COUNTIFS(Input!$A$1:$A$1500,E$17,Input!$C$1:$C$1500,$C12,Input!$D$1:$D$1500,"R")&amp;"/"&amp;COUNTIFS(Input!$A$1:$A$1500,E$17,Input!$C$1:$C$1500,$C12)</f>
        <v>0/9</v>
      </c>
      <c r="F12" s="6" t="str">
        <f>COUNTIFS(Input!$A$1:$A$1500,F$17,Input!$C$1:$C$1500,$C12,Input!$D$1:$D$1500,"R")&amp;"/"&amp;COUNTIFS(Input!$A$1:$A$1500,F$17,Input!$C$1:$C$1500,$C12)</f>
        <v>0/8</v>
      </c>
      <c r="G12" s="6" t="str">
        <f>COUNTIFS(Input!$A$1:$A$1500,G$17,Input!$C$1:$C$1500,$C12,Input!$D$1:$D$1500,"R")&amp;"/"&amp;COUNTIFS(Input!$A$1:$A$1500,G$17,Input!$C$1:$C$1500,$C12)</f>
        <v>0/15</v>
      </c>
      <c r="H12" s="6" t="str">
        <f>COUNTIFS(Input!$A$1:$A$1500,H$17,Input!$C$1:$C$1500,$C12,Input!$D$1:$D$1500,"R")&amp;"/"&amp;COUNTIFS(Input!$A$1:$A$1500,H$17,Input!$C$1:$C$1500,$C12)</f>
        <v>0/9</v>
      </c>
      <c r="I12" s="6" t="str">
        <f>COUNTIFS(Input!$A$1:$A$1500,I$17,Input!$C$1:$C$1500,$C12,Input!$D$1:$D$1500,"R")&amp;"/"&amp;COUNTIFS(Input!$A$1:$A$1500,I$17,Input!$C$1:$C$1500,$C12)</f>
        <v>0/10</v>
      </c>
      <c r="J12" s="6" t="str">
        <f>COUNTIFS(Input!$A$1:$A$1500,J$17,Input!$C$1:$C$1500,$C12,Input!$D$1:$D$1500,"R")&amp;"/"&amp;COUNTIFS(Input!$A$1:$A$1500,J$17,Input!$C$1:$C$1500,$C12)</f>
        <v>0/13</v>
      </c>
      <c r="K12" s="6" t="str">
        <f>COUNTIFS(Input!$A$1:$A$1500,K$17,Input!$C$1:$C$1500,$C12,Input!$D$1:$D$1500,"R")&amp;"/"&amp;COUNTIFS(Input!$A$1:$A$1500,K$17,Input!$C$1:$C$1500,$C12)</f>
        <v>0/1</v>
      </c>
      <c r="L12" s="6" t="str">
        <f>COUNTIFS(Input!$A$1:$A$1500,L$17,Input!$C$1:$C$1500,$C12,Input!$D$1:$D$1500,"R")&amp;"/"&amp;COUNTIFS(Input!$A$1:$A$1500,L$17,Input!$C$1:$C$1500,$C12)</f>
        <v>0/15</v>
      </c>
      <c r="M12" s="6" t="str">
        <f>COUNTIFS(Input!$A$1:$A$1500,M$17,Input!$C$1:$C$1500,$C12,Input!$D$1:$D$1500,"R")&amp;"/"&amp;COUNTIFS(Input!$A$1:$A$1500,M$17,Input!$C$1:$C$1500,$C12)</f>
        <v>0/21</v>
      </c>
      <c r="N12" s="6" t="str">
        <f>COUNTIFS(Input!$A$1:$A$1500,N$17,Input!$C$1:$C$1500,$C12,Input!$D$1:$D$1500,"R")&amp;"/"&amp;COUNTIFS(Input!$A$1:$A$1500,N$17,Input!$C$1:$C$1500,$C12)</f>
        <v>0/4</v>
      </c>
      <c r="O12" s="6" t="str">
        <f>COUNTIFS(Input!$A$1:$A$1500,O$17,Input!$C$1:$C$1500,$C12,Input!$D$1:$D$1500,"R")&amp;"/"&amp;COUNTIFS(Input!$A$1:$A$1500,O$17,Input!$C$1:$C$1500,$C12)</f>
        <v>0/15</v>
      </c>
      <c r="P12" s="17">
        <f>COUNTIFS(Input!$A$1:$A$1500,D$17,Input!$C$1:$C$1500,$C12,Input!$D$1:$D$1500,"R")/COUNTIFS(Input!$A$1:$A$1500,D$17,Input!$C$1:$C$1500,$C12)</f>
        <v>0</v>
      </c>
      <c r="Q12" s="17">
        <f>COUNTIFS(Input!$A$1:$A$1500,E$17,Input!$C$1:$C$1500,$C12,Input!$D$1:$D$1500,"R")/COUNTIFS(Input!$A$1:$A$1500,E$17,Input!$C$1:$C$1500,$C12)</f>
        <v>0</v>
      </c>
      <c r="R12" s="17">
        <f>COUNTIFS(Input!$A$1:$A$1500,F$17,Input!$C$1:$C$1500,$C12,Input!$D$1:$D$1500,"R")/COUNTIFS(Input!$A$1:$A$1500,F$17,Input!$C$1:$C$1500,$C12)</f>
        <v>0</v>
      </c>
      <c r="S12" s="17">
        <f>COUNTIFS(Input!$A$1:$A$1500,G$17,Input!$C$1:$C$1500,$C12,Input!$D$1:$D$1500,"R")/COUNTIFS(Input!$A$1:$A$1500,G$17,Input!$C$1:$C$1500,$C12)</f>
        <v>0</v>
      </c>
      <c r="T12" s="17">
        <f>COUNTIFS(Input!$A$1:$A$1500,H$17,Input!$C$1:$C$1500,$C12,Input!$D$1:$D$1500,"R")/COUNTIFS(Input!$A$1:$A$1500,H$17,Input!$C$1:$C$1500,$C12)</f>
        <v>0</v>
      </c>
      <c r="U12" s="17">
        <f>COUNTIFS(Input!$A$1:$A$1500,I$17,Input!$C$1:$C$1500,$C12,Input!$D$1:$D$1500,"R")/COUNTIFS(Input!$A$1:$A$1500,I$17,Input!$C$1:$C$1500,$C12)</f>
        <v>0</v>
      </c>
      <c r="V12" s="17">
        <f>COUNTIFS(Input!$A$1:$A$1500,J$17,Input!$C$1:$C$1500,$C12,Input!$D$1:$D$1500,"R")/COUNTIFS(Input!$A$1:$A$1500,J$17,Input!$C$1:$C$1500,$C12)</f>
        <v>0</v>
      </c>
      <c r="W12" s="17">
        <f>COUNTIFS(Input!$A$1:$A$1500,K$17,Input!$C$1:$C$1500,$C12,Input!$D$1:$D$1500,"R")/COUNTIFS(Input!$A$1:$A$1500,K$17,Input!$C$1:$C$1500,$C12)</f>
        <v>0</v>
      </c>
      <c r="X12" s="17">
        <f>COUNTIFS(Input!$A$1:$A$1500,L$17,Input!$C$1:$C$1500,$C12,Input!$D$1:$D$1500,"R")/COUNTIFS(Input!$A$1:$A$1500,L$17,Input!$C$1:$C$1500,$C12)</f>
        <v>0</v>
      </c>
      <c r="Y12" s="17">
        <f>COUNTIFS(Input!$A$1:$A$1500,M$17,Input!$C$1:$C$1500,$C12,Input!$D$1:$D$1500,"R")/COUNTIFS(Input!$A$1:$A$1500,M$17,Input!$C$1:$C$1500,$C12)</f>
        <v>0</v>
      </c>
      <c r="Z12" s="17">
        <f>COUNTIFS(Input!$A$1:$A$1500,N$17,Input!$C$1:$C$1500,$C12,Input!$D$1:$D$1500,"R")/COUNTIFS(Input!$A$1:$A$1500,N$17,Input!$C$1:$C$1500,$C12)</f>
        <v>0</v>
      </c>
      <c r="AA12" s="17">
        <f>COUNTIFS(Input!$A$1:$A$1500,O$17,Input!$C$1:$C$1500,$C12,Input!$D$1:$D$1500,"R")/COUNTIFS(Input!$A$1:$A$1500,O$17,Input!$C$1:$C$1500,$C12)</f>
        <v>0</v>
      </c>
    </row>
    <row r="13" spans="1:27" s="2" customFormat="1" ht="22" customHeight="1">
      <c r="C13" s="16" t="s">
        <v>171</v>
      </c>
      <c r="D13" s="6" t="str">
        <f>COUNTIFS(Input!$A$1:$A$1500,D$17,Input!$C$1:$C$1500,$C13,Input!$D$1:$D$1500,"R")&amp;"/"&amp;COUNTIFS(Input!$A$1:$A$1500,D$17,Input!$C$1:$C$1500,$C13)</f>
        <v>0/8</v>
      </c>
      <c r="E13" s="6" t="str">
        <f>COUNTIFS(Input!$A$1:$A$1500,E$17,Input!$C$1:$C$1500,$C13,Input!$D$1:$D$1500,"R")&amp;"/"&amp;COUNTIFS(Input!$A$1:$A$1500,E$17,Input!$C$1:$C$1500,$C13)</f>
        <v>0/8</v>
      </c>
      <c r="F13" s="6" t="str">
        <f>COUNTIFS(Input!$A$1:$A$1500,F$17,Input!$C$1:$C$1500,$C13,Input!$D$1:$D$1500,"R")&amp;"/"&amp;COUNTIFS(Input!$A$1:$A$1500,F$17,Input!$C$1:$C$1500,$C13)</f>
        <v>0/10</v>
      </c>
      <c r="G13" s="6" t="str">
        <f>COUNTIFS(Input!$A$1:$A$1500,G$17,Input!$C$1:$C$1500,$C13,Input!$D$1:$D$1500,"R")&amp;"/"&amp;COUNTIFS(Input!$A$1:$A$1500,G$17,Input!$C$1:$C$1500,$C13)</f>
        <v>0/13</v>
      </c>
      <c r="H13" s="6" t="str">
        <f>COUNTIFS(Input!$A$1:$A$1500,H$17,Input!$C$1:$C$1500,$C13,Input!$D$1:$D$1500,"R")&amp;"/"&amp;COUNTIFS(Input!$A$1:$A$1500,H$17,Input!$C$1:$C$1500,$C13)</f>
        <v>0/6</v>
      </c>
      <c r="I13" s="6" t="str">
        <f>COUNTIFS(Input!$A$1:$A$1500,I$17,Input!$C$1:$C$1500,$C13,Input!$D$1:$D$1500,"R")&amp;"/"&amp;COUNTIFS(Input!$A$1:$A$1500,I$17,Input!$C$1:$C$1500,$C13)</f>
        <v>0/6</v>
      </c>
      <c r="J13" s="6" t="str">
        <f>COUNTIFS(Input!$A$1:$A$1500,J$17,Input!$C$1:$C$1500,$C13,Input!$D$1:$D$1500,"R")&amp;"/"&amp;COUNTIFS(Input!$A$1:$A$1500,J$17,Input!$C$1:$C$1500,$C13)</f>
        <v>0/7</v>
      </c>
      <c r="K13" s="6" t="str">
        <f>COUNTIFS(Input!$A$1:$A$1500,K$17,Input!$C$1:$C$1500,$C13,Input!$D$1:$D$1500,"R")&amp;"/"&amp;COUNTIFS(Input!$A$1:$A$1500,K$17,Input!$C$1:$C$1500,$C13)</f>
        <v>0/3</v>
      </c>
      <c r="L13" s="6" t="str">
        <f>COUNTIFS(Input!$A$1:$A$1500,L$17,Input!$C$1:$C$1500,$C13,Input!$D$1:$D$1500,"R")&amp;"/"&amp;COUNTIFS(Input!$A$1:$A$1500,L$17,Input!$C$1:$C$1500,$C13)</f>
        <v>0/36</v>
      </c>
      <c r="M13" s="6" t="str">
        <f>COUNTIFS(Input!$A$1:$A$1500,M$17,Input!$C$1:$C$1500,$C13,Input!$D$1:$D$1500,"R")&amp;"/"&amp;COUNTIFS(Input!$A$1:$A$1500,M$17,Input!$C$1:$C$1500,$C13)</f>
        <v>0/14</v>
      </c>
      <c r="N13" s="6" t="str">
        <f>COUNTIFS(Input!$A$1:$A$1500,N$17,Input!$C$1:$C$1500,$C13,Input!$D$1:$D$1500,"R")&amp;"/"&amp;COUNTIFS(Input!$A$1:$A$1500,N$17,Input!$C$1:$C$1500,$C13)</f>
        <v>0/5</v>
      </c>
      <c r="O13" s="6" t="str">
        <f>COUNTIFS(Input!$A$1:$A$1500,O$17,Input!$C$1:$C$1500,$C13,Input!$D$1:$D$1500,"R")&amp;"/"&amp;COUNTIFS(Input!$A$1:$A$1500,O$17,Input!$C$1:$C$1500,$C13)</f>
        <v>0/14</v>
      </c>
      <c r="P13" s="17">
        <f>COUNTIFS(Input!$A$1:$A$1500,D$17,Input!$C$1:$C$1500,$C13,Input!$D$1:$D$1500,"R")/COUNTIFS(Input!$A$1:$A$1500,D$17,Input!$C$1:$C$1500,$C13)</f>
        <v>0</v>
      </c>
      <c r="Q13" s="17">
        <f>COUNTIFS(Input!$A$1:$A$1500,E$17,Input!$C$1:$C$1500,$C13,Input!$D$1:$D$1500,"R")/COUNTIFS(Input!$A$1:$A$1500,E$17,Input!$C$1:$C$1500,$C13)</f>
        <v>0</v>
      </c>
      <c r="R13" s="17">
        <f>COUNTIFS(Input!$A$1:$A$1500,F$17,Input!$C$1:$C$1500,$C13,Input!$D$1:$D$1500,"R")/COUNTIFS(Input!$A$1:$A$1500,F$17,Input!$C$1:$C$1500,$C13)</f>
        <v>0</v>
      </c>
      <c r="S13" s="17">
        <f>COUNTIFS(Input!$A$1:$A$1500,G$17,Input!$C$1:$C$1500,$C13,Input!$D$1:$D$1500,"R")/COUNTIFS(Input!$A$1:$A$1500,G$17,Input!$C$1:$C$1500,$C13)</f>
        <v>0</v>
      </c>
      <c r="T13" s="17">
        <f>COUNTIFS(Input!$A$1:$A$1500,H$17,Input!$C$1:$C$1500,$C13,Input!$D$1:$D$1500,"R")/COUNTIFS(Input!$A$1:$A$1500,H$17,Input!$C$1:$C$1500,$C13)</f>
        <v>0</v>
      </c>
      <c r="U13" s="17">
        <f>COUNTIFS(Input!$A$1:$A$1500,I$17,Input!$C$1:$C$1500,$C13,Input!$D$1:$D$1500,"R")/COUNTIFS(Input!$A$1:$A$1500,I$17,Input!$C$1:$C$1500,$C13)</f>
        <v>0</v>
      </c>
      <c r="V13" s="17">
        <f>COUNTIFS(Input!$A$1:$A$1500,J$17,Input!$C$1:$C$1500,$C13,Input!$D$1:$D$1500,"R")/COUNTIFS(Input!$A$1:$A$1500,J$17,Input!$C$1:$C$1500,$C13)</f>
        <v>0</v>
      </c>
      <c r="W13" s="17">
        <f>COUNTIFS(Input!$A$1:$A$1500,K$17,Input!$C$1:$C$1500,$C13,Input!$D$1:$D$1500,"R")/COUNTIFS(Input!$A$1:$A$1500,K$17,Input!$C$1:$C$1500,$C13)</f>
        <v>0</v>
      </c>
      <c r="X13" s="17">
        <f>COUNTIFS(Input!$A$1:$A$1500,L$17,Input!$C$1:$C$1500,$C13,Input!$D$1:$D$1500,"R")/COUNTIFS(Input!$A$1:$A$1500,L$17,Input!$C$1:$C$1500,$C13)</f>
        <v>0</v>
      </c>
      <c r="Y13" s="17">
        <f>COUNTIFS(Input!$A$1:$A$1500,M$17,Input!$C$1:$C$1500,$C13,Input!$D$1:$D$1500,"R")/COUNTIFS(Input!$A$1:$A$1500,M$17,Input!$C$1:$C$1500,$C13)</f>
        <v>0</v>
      </c>
      <c r="Z13" s="17">
        <f>COUNTIFS(Input!$A$1:$A$1500,N$17,Input!$C$1:$C$1500,$C13,Input!$D$1:$D$1500,"R")/COUNTIFS(Input!$A$1:$A$1500,N$17,Input!$C$1:$C$1500,$C13)</f>
        <v>0</v>
      </c>
      <c r="AA13" s="17">
        <f>COUNTIFS(Input!$A$1:$A$1500,O$17,Input!$C$1:$C$1500,$C13,Input!$D$1:$D$1500,"R")/COUNTIFS(Input!$A$1:$A$1500,O$17,Input!$C$1:$C$1500,$C13)</f>
        <v>0</v>
      </c>
    </row>
    <row r="14" spans="1:27" s="2" customFormat="1" ht="22" customHeight="1">
      <c r="C14" s="16" t="s">
        <v>24</v>
      </c>
      <c r="D14" s="6" t="str">
        <f>COUNTIFS(Input!$A$1:$A$1500,D$17,Input!$C$1:$C$1500,$C14,Input!$D$1:$D$1500,"R")&amp;"/"&amp;COUNTIFS(Input!$A$1:$A$1500,D$17,Input!$C$1:$C$1500,$C14)</f>
        <v>0/16</v>
      </c>
      <c r="E14" s="6" t="str">
        <f>COUNTIFS(Input!$A$1:$A$1500,E$17,Input!$C$1:$C$1500,$C14,Input!$D$1:$D$1500,"R")&amp;"/"&amp;COUNTIFS(Input!$A$1:$A$1500,E$17,Input!$C$1:$C$1500,$C14)</f>
        <v>0/10</v>
      </c>
      <c r="F14" s="6" t="str">
        <f>COUNTIFS(Input!$A$1:$A$1500,F$17,Input!$C$1:$C$1500,$C14,Input!$D$1:$D$1500,"R")&amp;"/"&amp;COUNTIFS(Input!$A$1:$A$1500,F$17,Input!$C$1:$C$1500,$C14)</f>
        <v>0/9</v>
      </c>
      <c r="G14" s="6" t="str">
        <f>COUNTIFS(Input!$A$1:$A$1500,G$17,Input!$C$1:$C$1500,$C14,Input!$D$1:$D$1500,"R")&amp;"/"&amp;COUNTIFS(Input!$A$1:$A$1500,G$17,Input!$C$1:$C$1500,$C14)</f>
        <v>0/12</v>
      </c>
      <c r="H14" s="6" t="str">
        <f>COUNTIFS(Input!$A$1:$A$1500,H$17,Input!$C$1:$C$1500,$C14,Input!$D$1:$D$1500,"R")&amp;"/"&amp;COUNTIFS(Input!$A$1:$A$1500,H$17,Input!$C$1:$C$1500,$C14)</f>
        <v>0/8</v>
      </c>
      <c r="I14" s="6" t="str">
        <f>COUNTIFS(Input!$A$1:$A$1500,I$17,Input!$C$1:$C$1500,$C14,Input!$D$1:$D$1500,"R")&amp;"/"&amp;COUNTIFS(Input!$A$1:$A$1500,I$17,Input!$C$1:$C$1500,$C14)</f>
        <v>0/2</v>
      </c>
      <c r="J14" s="6" t="str">
        <f>COUNTIFS(Input!$A$1:$A$1500,J$17,Input!$C$1:$C$1500,$C14,Input!$D$1:$D$1500,"R")&amp;"/"&amp;COUNTIFS(Input!$A$1:$A$1500,J$17,Input!$C$1:$C$1500,$C14)</f>
        <v>0/6</v>
      </c>
      <c r="K14" s="6" t="str">
        <f>COUNTIFS(Input!$A$1:$A$1500,K$17,Input!$C$1:$C$1500,$C14,Input!$D$1:$D$1500,"R")&amp;"/"&amp;COUNTIFS(Input!$A$1:$A$1500,K$17,Input!$C$1:$C$1500,$C14)</f>
        <v>0/1</v>
      </c>
      <c r="L14" s="6" t="str">
        <f>COUNTIFS(Input!$A$1:$A$1500,L$17,Input!$C$1:$C$1500,$C14,Input!$D$1:$D$1500,"R")&amp;"/"&amp;COUNTIFS(Input!$A$1:$A$1500,L$17,Input!$C$1:$C$1500,$C14)</f>
        <v>0/17</v>
      </c>
      <c r="M14" s="6" t="str">
        <f>COUNTIFS(Input!$A$1:$A$1500,M$17,Input!$C$1:$C$1500,$C14,Input!$D$1:$D$1500,"R")&amp;"/"&amp;COUNTIFS(Input!$A$1:$A$1500,M$17,Input!$C$1:$C$1500,$C14)</f>
        <v>0/11</v>
      </c>
      <c r="N14" s="6" t="str">
        <f>COUNTIFS(Input!$A$1:$A$1500,N$17,Input!$C$1:$C$1500,$C14,Input!$D$1:$D$1500,"R")&amp;"/"&amp;COUNTIFS(Input!$A$1:$A$1500,N$17,Input!$C$1:$C$1500,$C14)</f>
        <v>0/5</v>
      </c>
      <c r="O14" s="6" t="str">
        <f>COUNTIFS(Input!$A$1:$A$1500,O$17,Input!$C$1:$C$1500,$C14,Input!$D$1:$D$1500,"R")&amp;"/"&amp;COUNTIFS(Input!$A$1:$A$1500,O$17,Input!$C$1:$C$1500,$C14)</f>
        <v>0/5</v>
      </c>
      <c r="P14" s="17">
        <f>COUNTIFS(Input!$A$1:$A$1500,D$17,Input!$C$1:$C$1500,$C14,Input!$D$1:$D$1500,"R")/COUNTIFS(Input!$A$1:$A$1500,D$17,Input!$C$1:$C$1500,$C14)</f>
        <v>0</v>
      </c>
      <c r="Q14" s="17">
        <f>COUNTIFS(Input!$A$1:$A$1500,E$17,Input!$C$1:$C$1500,$C14,Input!$D$1:$D$1500,"R")/COUNTIFS(Input!$A$1:$A$1500,E$17,Input!$C$1:$C$1500,$C14)</f>
        <v>0</v>
      </c>
      <c r="R14" s="17">
        <f>COUNTIFS(Input!$A$1:$A$1500,F$17,Input!$C$1:$C$1500,$C14,Input!$D$1:$D$1500,"R")/COUNTIFS(Input!$A$1:$A$1500,F$17,Input!$C$1:$C$1500,$C14)</f>
        <v>0</v>
      </c>
      <c r="S14" s="17">
        <f>COUNTIFS(Input!$A$1:$A$1500,G$17,Input!$C$1:$C$1500,$C14,Input!$D$1:$D$1500,"R")/COUNTIFS(Input!$A$1:$A$1500,G$17,Input!$C$1:$C$1500,$C14)</f>
        <v>0</v>
      </c>
      <c r="T14" s="17">
        <f>COUNTIFS(Input!$A$1:$A$1500,H$17,Input!$C$1:$C$1500,$C14,Input!$D$1:$D$1500,"R")/COUNTIFS(Input!$A$1:$A$1500,H$17,Input!$C$1:$C$1500,$C14)</f>
        <v>0</v>
      </c>
      <c r="U14" s="17">
        <f>COUNTIFS(Input!$A$1:$A$1500,I$17,Input!$C$1:$C$1500,$C14,Input!$D$1:$D$1500,"R")/COUNTIFS(Input!$A$1:$A$1500,I$17,Input!$C$1:$C$1500,$C14)</f>
        <v>0</v>
      </c>
      <c r="V14" s="17">
        <f>COUNTIFS(Input!$A$1:$A$1500,J$17,Input!$C$1:$C$1500,$C14,Input!$D$1:$D$1500,"R")/COUNTIFS(Input!$A$1:$A$1500,J$17,Input!$C$1:$C$1500,$C14)</f>
        <v>0</v>
      </c>
      <c r="W14" s="17">
        <f>COUNTIFS(Input!$A$1:$A$1500,K$17,Input!$C$1:$C$1500,$C14,Input!$D$1:$D$1500,"R")/COUNTIFS(Input!$A$1:$A$1500,K$17,Input!$C$1:$C$1500,$C14)</f>
        <v>0</v>
      </c>
      <c r="X14" s="17">
        <f>COUNTIFS(Input!$A$1:$A$1500,L$17,Input!$C$1:$C$1500,$C14,Input!$D$1:$D$1500,"R")/COUNTIFS(Input!$A$1:$A$1500,L$17,Input!$C$1:$C$1500,$C14)</f>
        <v>0</v>
      </c>
      <c r="Y14" s="17">
        <f>COUNTIFS(Input!$A$1:$A$1500,M$17,Input!$C$1:$C$1500,$C14,Input!$D$1:$D$1500,"R")/COUNTIFS(Input!$A$1:$A$1500,M$17,Input!$C$1:$C$1500,$C14)</f>
        <v>0</v>
      </c>
      <c r="Z14" s="17">
        <f>COUNTIFS(Input!$A$1:$A$1500,N$17,Input!$C$1:$C$1500,$C14,Input!$D$1:$D$1500,"R")/COUNTIFS(Input!$A$1:$A$1500,N$17,Input!$C$1:$C$1500,$C14)</f>
        <v>0</v>
      </c>
      <c r="AA14" s="17">
        <f>COUNTIFS(Input!$A$1:$A$1500,O$17,Input!$C$1:$C$1500,$C14,Input!$D$1:$D$1500,"R")/COUNTIFS(Input!$A$1:$A$1500,O$17,Input!$C$1:$C$1500,$C14)</f>
        <v>0</v>
      </c>
    </row>
    <row r="15" spans="1:27" s="2" customFormat="1" ht="34.5" customHeight="1">
      <c r="C15" s="45" t="s">
        <v>1321</v>
      </c>
      <c r="D15" s="7" t="s">
        <v>23</v>
      </c>
      <c r="E15" s="7" t="s">
        <v>42</v>
      </c>
      <c r="F15" s="7" t="s">
        <v>55</v>
      </c>
      <c r="G15" s="7" t="s">
        <v>1498</v>
      </c>
      <c r="H15" s="7" t="s">
        <v>1499</v>
      </c>
      <c r="I15" s="45" t="s">
        <v>1322</v>
      </c>
      <c r="J15" s="45" t="s">
        <v>1497</v>
      </c>
      <c r="K15" s="45" t="s">
        <v>1324</v>
      </c>
      <c r="L15" s="45" t="s">
        <v>1500</v>
      </c>
      <c r="M15" s="45" t="s">
        <v>1326</v>
      </c>
      <c r="N15" s="45" t="s">
        <v>1327</v>
      </c>
      <c r="O15" s="45" t="s">
        <v>1328</v>
      </c>
      <c r="P15" s="18"/>
      <c r="Q15" s="18"/>
      <c r="R15" s="18"/>
      <c r="S15" s="18"/>
      <c r="T15" s="18"/>
      <c r="U15" s="18"/>
      <c r="V15" s="18"/>
    </row>
    <row r="16" spans="1:27" s="2" customFormat="1" ht="25" customHeight="1">
      <c r="C16" s="45"/>
      <c r="D16" s="45" t="s">
        <v>1501</v>
      </c>
      <c r="E16" s="45"/>
      <c r="F16" s="45"/>
      <c r="G16" s="45"/>
      <c r="H16" s="45"/>
      <c r="I16" s="45"/>
      <c r="J16" s="45"/>
      <c r="K16" s="45"/>
      <c r="L16" s="45"/>
      <c r="M16" s="45"/>
      <c r="N16" s="45"/>
      <c r="O16" s="45"/>
      <c r="P16" s="18"/>
      <c r="Q16" s="18"/>
      <c r="R16" s="18"/>
      <c r="S16" s="18"/>
      <c r="T16" s="18"/>
      <c r="U16" s="18"/>
      <c r="V16" s="18"/>
    </row>
    <row r="17" spans="4:15" s="2" customFormat="1" hidden="1">
      <c r="D17" s="8" t="s">
        <v>23</v>
      </c>
      <c r="E17" s="8" t="s">
        <v>42</v>
      </c>
      <c r="F17" s="8" t="s">
        <v>55</v>
      </c>
      <c r="G17" s="8" t="s">
        <v>67</v>
      </c>
      <c r="H17" s="8" t="s">
        <v>81</v>
      </c>
      <c r="I17" s="2" t="s">
        <v>91</v>
      </c>
      <c r="J17" s="8" t="s">
        <v>96</v>
      </c>
      <c r="K17" s="8" t="s">
        <v>105</v>
      </c>
      <c r="L17" s="8" t="s">
        <v>109</v>
      </c>
      <c r="M17" t="s">
        <v>134</v>
      </c>
      <c r="N17" t="s">
        <v>152</v>
      </c>
      <c r="O17" t="s">
        <v>160</v>
      </c>
    </row>
    <row r="18" spans="4:15" s="2" customFormat="1"/>
    <row r="19" spans="4:15" s="2" customFormat="1"/>
  </sheetData>
  <mergeCells count="9">
    <mergeCell ref="M15:M16"/>
    <mergeCell ref="N15:N16"/>
    <mergeCell ref="O15:O16"/>
    <mergeCell ref="D16:H16"/>
    <mergeCell ref="C15:C16"/>
    <mergeCell ref="I15:I16"/>
    <mergeCell ref="J15:J16"/>
    <mergeCell ref="K15:K16"/>
    <mergeCell ref="L15:L16"/>
  </mergeCells>
  <phoneticPr fontId="26" type="noConversion"/>
  <conditionalFormatting sqref="D4:O14">
    <cfRule type="expression" dxfId="15" priority="5" stopIfTrue="1">
      <formula>IF(P4&lt;1/2,1,0)=1</formula>
    </cfRule>
    <cfRule type="expression" dxfId="14" priority="4" stopIfTrue="1">
      <formula>IF(P4&gt;=1/2,1,0)=1</formula>
    </cfRule>
    <cfRule type="expression" dxfId="13" priority="3" stopIfTrue="1">
      <formula>IF(P4&gt;=2/3,1,0)=1</formula>
    </cfRule>
    <cfRule type="expression" dxfId="12" priority="2" stopIfTrue="1">
      <formula>IF(P4=1,1,0)=1</formula>
    </cfRule>
    <cfRule type="expression" priority="1" stopIfTrue="1">
      <formula>IF(P4=0,1,0)=1</formula>
    </cfRule>
  </conditionalFormatting>
  <pageMargins left="0.75" right="0.75" top="1" bottom="1" header="0.5" footer="0.5"/>
  <ignoredErrors>
    <ignoredError sqref="D4:O14"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Q19"/>
  <sheetViews>
    <sheetView workbookViewId="0">
      <selection activeCell="G20" sqref="G20"/>
    </sheetView>
  </sheetViews>
  <sheetFormatPr defaultColWidth="9" defaultRowHeight="14.5"/>
  <cols>
    <col min="1" max="2" width="9" style="3"/>
    <col min="3" max="3" width="14.59765625" style="3" customWidth="1"/>
    <col min="4" max="22" width="9" style="3"/>
    <col min="23" max="39" width="9" style="3" hidden="1" customWidth="1"/>
    <col min="40" max="41" width="12.59765625" style="3" hidden="1" customWidth="1"/>
    <col min="42" max="16384" width="9" style="3"/>
  </cols>
  <sheetData>
    <row r="1" spans="1:43" customFormat="1"/>
    <row r="2" spans="1:43" s="12" customFormat="1" ht="24" customHeight="1">
      <c r="A2" s="13" t="s">
        <v>1329</v>
      </c>
    </row>
    <row r="3" spans="1:43" s="2" customFormat="1"/>
    <row r="4" spans="1:43" s="2" customFormat="1" ht="22" customHeight="1">
      <c r="C4" s="5" t="s">
        <v>1229</v>
      </c>
      <c r="D4" s="6"/>
      <c r="E4" s="6"/>
      <c r="F4" s="6"/>
      <c r="G4" s="6"/>
      <c r="H4" s="6"/>
      <c r="I4" s="6" t="str">
        <f>COUNTIFS(Input!$B$1:$B$1500,I$17,Input!$C$1:$C$1500,$C4,Input!$D$1:$D$1500,"R")&amp;"/"&amp;COUNTIFS(Input!$B$1:$B$1500,I$17,Input!$C$1:$C$1500,$C4)</f>
        <v>0/4</v>
      </c>
      <c r="J4" s="6"/>
      <c r="K4" s="6"/>
      <c r="L4" s="6" t="str">
        <f>COUNTIFS(Input!$B$1:$B$1500,L$17,Input!$C$1:$C$1500,$C4,Input!$D$1:$D$1500,"R")&amp;"/"&amp;COUNTIFS(Input!$B$1:$B$1500,L$17,Input!$C$1:$C$1500,$C4)</f>
        <v>0/9</v>
      </c>
      <c r="M4" s="6" t="str">
        <f>COUNTIFS(Input!$B$1:$B$1500,M$17,Input!$C$1:$C$1500,$C4,Input!$D$1:$D$1500,"R")&amp;"/"&amp;COUNTIFS(Input!$B$1:$B$1500,M$17,Input!$C$1:$C$1500,$C4)</f>
        <v>0/14</v>
      </c>
      <c r="N4" s="6" t="str">
        <f>COUNTIFS(Input!$B$1:$B$1500,N$17,Input!$C$1:$C$1500,$C4,Input!$D$1:$D$1500,"R")&amp;"/"&amp;COUNTIFS(Input!$B$1:$B$1500,N$17,Input!$C$1:$C$1500,$C4)</f>
        <v>0/10</v>
      </c>
      <c r="O4" s="6" t="str">
        <f>COUNTIFS(Input!$B$1:$B$1500,O$17,Input!$C$1:$C$1500,$C4,Input!$D$1:$D$1500,"R")&amp;"/"&amp;COUNTIFS(Input!$B$1:$B$1500,O$17,Input!$C$1:$C$1500,$C4)</f>
        <v>0/4</v>
      </c>
      <c r="P4" s="6" t="str">
        <f>COUNTIFS(Input!$B$1:$B$1500,P$17,Input!$C$1:$C$1500,$C4,Input!$D$1:$D$1500,"R")&amp;"/"&amp;COUNTIFS(Input!$B$1:$B$1500,P$17,Input!$C$1:$C$1500,$C4)</f>
        <v>0/3</v>
      </c>
      <c r="Q4" s="6" t="str">
        <f>COUNTIFS(Input!$B$1:$B$1500,Q$17,Input!$C$1:$C$1500,$C4,Input!$D$1:$D$1500,"R")&amp;"/"&amp;COUNTIFS(Input!$B$1:$B$1500,Q$17,Input!$C$1:$C$1500,$C4)</f>
        <v>0/4</v>
      </c>
      <c r="R4" s="6" t="str">
        <f>COUNTIFS(Input!$B$1:$B$1500,R$17,Input!$C$1:$C$1500,$C4,Input!$D$1:$D$1500,"R")&amp;"/"&amp;COUNTIFS(Input!$B$1:$B$1500,R$17,Input!$C$1:$C$1500,$C4)</f>
        <v>0/8</v>
      </c>
      <c r="S4" s="6" t="str">
        <f>COUNTIFS(Input!$B$1:$B$1500,S$17,Input!$C$1:$C$1500,$C4,Input!$D$1:$D$1500,"R")&amp;"/"&amp;COUNTIFS(Input!$B$1:$B$1500,S$17,Input!$C$1:$C$1500,$C4)</f>
        <v>0/8</v>
      </c>
      <c r="T4" s="6"/>
      <c r="U4" s="6" t="str">
        <f>COUNTIFS(Input!$B$1:$B$1500,U$17,Input!$C$1:$C$1500,$C4,Input!$D$1:$D$1500,"R")&amp;"/"&amp;COUNTIFS(Input!$B$1:$B$1500,U$17,Input!$C$1:$C$1500,$C4)</f>
        <v>0/6</v>
      </c>
      <c r="V4" s="6" t="str">
        <f>COUNTIFS(Input!$B$1:$B$1500,V$17,Input!$C$1:$C$1500,$C4,Input!$D$1:$D$1500,"R")&amp;"/"&amp;COUNTIFS(Input!$B$1:$B$1500,V$17,Input!$C$1:$C$1500,$C4)</f>
        <v>0/10</v>
      </c>
      <c r="W4" s="3" t="e">
        <f>COUNTIFS(Input!$B$1:$B$1500,D$17,Input!$C$1:$C$1500,$C4,Input!$D$1:$D$1500,"R")/COUNTIFS(Input!$B$1:$B$1500,D$17,Input!$C$1:$C$1500,$C4)</f>
        <v>#DIV/0!</v>
      </c>
      <c r="X4" s="3" t="e">
        <f>COUNTIFS(Input!$B$1:$B$1500,E$17,Input!$C$1:$C$1500,$C4,Input!$D$1:$D$1500,"R")/COUNTIFS(Input!$B$1:$B$1500,E$17,Input!$C$1:$C$1500,$C4)</f>
        <v>#DIV/0!</v>
      </c>
      <c r="Y4" s="3" t="e">
        <f>COUNTIFS(Input!$B$1:$B$1500,F$17,Input!$C$1:$C$1500,$C4,Input!$D$1:$D$1500,"R")/COUNTIFS(Input!$B$1:$B$1500,F$17,Input!$C$1:$C$1500,$C4)</f>
        <v>#DIV/0!</v>
      </c>
      <c r="Z4" s="3" t="e">
        <f>COUNTIFS(Input!$B$1:$B$1500,G$17,Input!$C$1:$C$1500,$C4,Input!$D$1:$D$1500,"R")/COUNTIFS(Input!$B$1:$B$1500,G$17,Input!$C$1:$C$1500,$C4)</f>
        <v>#DIV/0!</v>
      </c>
      <c r="AA4" s="3" t="e">
        <f>COUNTIFS(Input!$B$1:$B$1500,H$17,Input!$C$1:$C$1500,$C4,Input!$D$1:$D$1500,"R")/COUNTIFS(Input!$B$1:$B$1500,H$17,Input!$C$1:$C$1500,$C4)</f>
        <v>#DIV/0!</v>
      </c>
      <c r="AB4" s="3">
        <f>COUNTIFS(Input!$B$1:$B$1500,I$17,Input!$C$1:$C$1500,$C4,Input!$D$1:$D$1500,"R")/COUNTIFS(Input!$B$1:$B$1500,I$17,Input!$C$1:$C$1500,$C4)</f>
        <v>0</v>
      </c>
      <c r="AC4" s="3" t="e">
        <f>COUNTIFS(Input!$B$1:$B$1500,J$17,Input!$C$1:$C$1500,$C4,Input!$D$1:$D$1500,"R")/COUNTIFS(Input!$B$1:$B$1500,J$17,Input!$C$1:$C$1500,$C4)</f>
        <v>#DIV/0!</v>
      </c>
      <c r="AD4" s="3" t="e">
        <f>COUNTIFS(Input!$B$1:$B$1500,K$17,Input!$C$1:$C$1500,$C4,Input!$D$1:$D$1500,"R")/COUNTIFS(Input!$B$1:$B$1500,K$17,Input!$C$1:$C$1500,$C4)</f>
        <v>#DIV/0!</v>
      </c>
      <c r="AE4" s="3">
        <f>COUNTIFS(Input!$B$1:$B$1500,L$17,Input!$C$1:$C$1500,$C4,Input!$D$1:$D$1500,"R")/COUNTIFS(Input!$B$1:$B$1500,L$17,Input!$C$1:$C$1500,$C4)</f>
        <v>0</v>
      </c>
      <c r="AF4" s="3">
        <f>COUNTIFS(Input!$B$1:$B$1500,M$17,Input!$C$1:$C$1500,$C4,Input!$D$1:$D$1500,"R")/COUNTIFS(Input!$B$1:$B$1500,M$17,Input!$C$1:$C$1500,$C4)</f>
        <v>0</v>
      </c>
      <c r="AG4" s="3">
        <f>COUNTIFS(Input!$B$1:$B$1500,N$17,Input!$C$1:$C$1500,$C4,Input!$D$1:$D$1500,"R")/COUNTIFS(Input!$B$1:$B$1500,N$17,Input!$C$1:$C$1500,$C4)</f>
        <v>0</v>
      </c>
      <c r="AH4" s="3">
        <f>COUNTIFS(Input!$B$1:$B$1500,O$17,Input!$C$1:$C$1500,$C4,Input!$D$1:$D$1500,"R")/COUNTIFS(Input!$B$1:$B$1500,O$17,Input!$C$1:$C$1500,$C4)</f>
        <v>0</v>
      </c>
      <c r="AI4" s="3">
        <f>COUNTIFS(Input!$B$1:$B$1500,P$17,Input!$C$1:$C$1500,$C4,Input!$D$1:$D$1500,"R")/COUNTIFS(Input!$B$1:$B$1500,P$17,Input!$C$1:$C$1500,$C4)</f>
        <v>0</v>
      </c>
      <c r="AJ4" s="3">
        <f>COUNTIFS(Input!$B$1:$B$1500,Q$17,Input!$C$1:$C$1500,$C4,Input!$D$1:$D$1500,"R")/COUNTIFS(Input!$B$1:$B$1500,Q$17,Input!$C$1:$C$1500,$C4)</f>
        <v>0</v>
      </c>
      <c r="AK4" s="3">
        <f>COUNTIFS(Input!$B$1:$B$1500,R$17,Input!$C$1:$C$1500,$C4,Input!$D$1:$D$1500,"R")/COUNTIFS(Input!$B$1:$B$1500,R$17,Input!$C$1:$C$1500,$C4)</f>
        <v>0</v>
      </c>
      <c r="AL4" s="3">
        <f>COUNTIFS(Input!$B$1:$B$1500,S$17,Input!$C$1:$C$1500,$C4,Input!$D$1:$D$1500,"R")/COUNTIFS(Input!$B$1:$B$1500,S$17,Input!$C$1:$C$1500,$C4)</f>
        <v>0</v>
      </c>
      <c r="AM4" s="3" t="e">
        <f>COUNTIFS(Input!$B$1:$B$1500,T$17,Input!$C$1:$C$1500,$C4,Input!$D$1:$D$1500,"R")/COUNTIFS(Input!$B$1:$B$1500,T$17,Input!$C$1:$C$1500,$C4)</f>
        <v>#DIV/0!</v>
      </c>
      <c r="AN4" s="3">
        <f>COUNTIFS(Input!$B$1:$B$1500,U$17,Input!$C$1:$C$1500,$C4,Input!$D$1:$D$1500,"R")/COUNTIFS(Input!$B$1:$B$1500,U$17,Input!$C$1:$C$1500,$C4)</f>
        <v>0</v>
      </c>
      <c r="AO4" s="3">
        <f>COUNTIFS(Input!$B$1:$B$1500,V$17,Input!$C$1:$C$1500,$C4,Input!$D$1:$D$1500,"R")/COUNTIFS(Input!$B$1:$B$1500,V$17,Input!$C$1:$C$1500,$C4)</f>
        <v>0</v>
      </c>
    </row>
    <row r="5" spans="1:43" s="2" customFormat="1" ht="22" customHeight="1">
      <c r="C5" s="5" t="s">
        <v>1123</v>
      </c>
      <c r="D5" s="6"/>
      <c r="E5" s="6"/>
      <c r="F5" s="6"/>
      <c r="G5" s="6"/>
      <c r="H5" s="6"/>
      <c r="I5" s="6" t="str">
        <f>COUNTIFS(Input!$B$1:$B$1500,I$17,Input!$C$1:$C$1500,$C5,Input!$D$1:$D$1500,"R")&amp;"/"&amp;COUNTIFS(Input!$B$1:$B$1500,I$17,Input!$C$1:$C$1500,$C5)</f>
        <v>0/6</v>
      </c>
      <c r="J5" s="6"/>
      <c r="K5" s="6"/>
      <c r="L5" s="6" t="str">
        <f>COUNTIFS(Input!$B$1:$B$1500,L$17,Input!$C$1:$C$1500,$C5,Input!$D$1:$D$1500,"R")&amp;"/"&amp;COUNTIFS(Input!$B$1:$B$1500,L$17,Input!$C$1:$C$1500,$C5)</f>
        <v>0/11</v>
      </c>
      <c r="M5" s="6" t="str">
        <f>COUNTIFS(Input!$B$1:$B$1500,M$17,Input!$C$1:$C$1500,$C5,Input!$D$1:$D$1500,"R")&amp;"/"&amp;COUNTIFS(Input!$B$1:$B$1500,M$17,Input!$C$1:$C$1500,$C5)</f>
        <v>0/13</v>
      </c>
      <c r="N5" s="6" t="str">
        <f>COUNTIFS(Input!$B$1:$B$1500,N$17,Input!$C$1:$C$1500,$C5,Input!$D$1:$D$1500,"R")&amp;"/"&amp;COUNTIFS(Input!$B$1:$B$1500,N$17,Input!$C$1:$C$1500,$C5)</f>
        <v>0/9</v>
      </c>
      <c r="O5" s="6" t="str">
        <f>COUNTIFS(Input!$B$1:$B$1500,O$17,Input!$C$1:$C$1500,$C5,Input!$D$1:$D$1500,"R")&amp;"/"&amp;COUNTIFS(Input!$B$1:$B$1500,O$17,Input!$C$1:$C$1500,$C5)</f>
        <v>0/18</v>
      </c>
      <c r="P5" s="6" t="str">
        <f>COUNTIFS(Input!$B$1:$B$1500,P$17,Input!$C$1:$C$1500,$C5,Input!$D$1:$D$1500,"R")&amp;"/"&amp;COUNTIFS(Input!$B$1:$B$1500,P$17,Input!$C$1:$C$1500,$C5)</f>
        <v>0/2</v>
      </c>
      <c r="Q5" s="6" t="str">
        <f>COUNTIFS(Input!$B$1:$B$1500,Q$17,Input!$C$1:$C$1500,$C5,Input!$D$1:$D$1500,"R")&amp;"/"&amp;COUNTIFS(Input!$B$1:$B$1500,Q$17,Input!$C$1:$C$1500,$C5)</f>
        <v>0/4</v>
      </c>
      <c r="R5" s="6" t="str">
        <f>COUNTIFS(Input!$B$1:$B$1500,R$17,Input!$C$1:$C$1500,$C5,Input!$D$1:$D$1500,"R")&amp;"/"&amp;COUNTIFS(Input!$B$1:$B$1500,R$17,Input!$C$1:$C$1500,$C5)</f>
        <v>0/3</v>
      </c>
      <c r="S5" s="6" t="str">
        <f>COUNTIFS(Input!$B$1:$B$1500,S$17,Input!$C$1:$C$1500,$C5,Input!$D$1:$D$1500,"R")&amp;"/"&amp;COUNTIFS(Input!$B$1:$B$1500,S$17,Input!$C$1:$C$1500,$C5)</f>
        <v>0/3</v>
      </c>
      <c r="T5" s="6"/>
      <c r="U5" s="6" t="str">
        <f>COUNTIFS(Input!$B$1:$B$1500,U$17,Input!$C$1:$C$1500,$C5,Input!$D$1:$D$1500,"R")&amp;"/"&amp;COUNTIFS(Input!$B$1:$B$1500,U$17,Input!$C$1:$C$1500,$C5)</f>
        <v>0/6</v>
      </c>
      <c r="V5" s="6" t="str">
        <f>COUNTIFS(Input!$B$1:$B$1500,V$17,Input!$C$1:$C$1500,$C5,Input!$D$1:$D$1500,"R")&amp;"/"&amp;COUNTIFS(Input!$B$1:$B$1500,V$17,Input!$C$1:$C$1500,$C5)</f>
        <v>0/18</v>
      </c>
      <c r="W5" s="3" t="e">
        <f>COUNTIFS(Input!$B$1:$B$1500,D$17,Input!$C$1:$C$1500,$C5,Input!$D$1:$D$1500,"R")/COUNTIFS(Input!$B$1:$B$1500,D$17,Input!$C$1:$C$1500,$C5)</f>
        <v>#DIV/0!</v>
      </c>
      <c r="X5" s="3" t="e">
        <f>COUNTIFS(Input!$B$1:$B$1500,E$17,Input!$C$1:$C$1500,$C5,Input!$D$1:$D$1500,"R")/COUNTIFS(Input!$B$1:$B$1500,E$17,Input!$C$1:$C$1500,$C5)</f>
        <v>#DIV/0!</v>
      </c>
      <c r="Y5" s="3" t="e">
        <f>COUNTIFS(Input!$B$1:$B$1500,F$17,Input!$C$1:$C$1500,$C5,Input!$D$1:$D$1500,"R")/COUNTIFS(Input!$B$1:$B$1500,F$17,Input!$C$1:$C$1500,$C5)</f>
        <v>#DIV/0!</v>
      </c>
      <c r="Z5" s="3" t="e">
        <f>COUNTIFS(Input!$B$1:$B$1500,G$17,Input!$C$1:$C$1500,$C5,Input!$D$1:$D$1500,"R")/COUNTIFS(Input!$B$1:$B$1500,G$17,Input!$C$1:$C$1500,$C5)</f>
        <v>#DIV/0!</v>
      </c>
      <c r="AA5" s="3" t="e">
        <f>COUNTIFS(Input!$B$1:$B$1500,H$17,Input!$C$1:$C$1500,$C5,Input!$D$1:$D$1500,"R")/COUNTIFS(Input!$B$1:$B$1500,H$17,Input!$C$1:$C$1500,$C5)</f>
        <v>#DIV/0!</v>
      </c>
      <c r="AB5" s="3">
        <f>COUNTIFS(Input!$B$1:$B$1500,I$17,Input!$C$1:$C$1500,$C5,Input!$D$1:$D$1500,"R")/COUNTIFS(Input!$B$1:$B$1500,I$17,Input!$C$1:$C$1500,$C5)</f>
        <v>0</v>
      </c>
      <c r="AC5" s="3" t="e">
        <f>COUNTIFS(Input!$B$1:$B$1500,J$17,Input!$C$1:$C$1500,$C5,Input!$D$1:$D$1500,"R")/COUNTIFS(Input!$B$1:$B$1500,J$17,Input!$C$1:$C$1500,$C5)</f>
        <v>#DIV/0!</v>
      </c>
      <c r="AD5" s="3" t="e">
        <f>COUNTIFS(Input!$B$1:$B$1500,K$17,Input!$C$1:$C$1500,$C5,Input!$D$1:$D$1500,"R")/COUNTIFS(Input!$B$1:$B$1500,K$17,Input!$C$1:$C$1500,$C5)</f>
        <v>#DIV/0!</v>
      </c>
      <c r="AE5" s="3">
        <f>COUNTIFS(Input!$B$1:$B$1500,L$17,Input!$C$1:$C$1500,$C5,Input!$D$1:$D$1500,"R")/COUNTIFS(Input!$B$1:$B$1500,L$17,Input!$C$1:$C$1500,$C5)</f>
        <v>0</v>
      </c>
      <c r="AF5" s="3">
        <f>COUNTIFS(Input!$B$1:$B$1500,M$17,Input!$C$1:$C$1500,$C5,Input!$D$1:$D$1500,"R")/COUNTIFS(Input!$B$1:$B$1500,M$17,Input!$C$1:$C$1500,$C5)</f>
        <v>0</v>
      </c>
      <c r="AG5" s="3">
        <f>COUNTIFS(Input!$B$1:$B$1500,N$17,Input!$C$1:$C$1500,$C5,Input!$D$1:$D$1500,"R")/COUNTIFS(Input!$B$1:$B$1500,N$17,Input!$C$1:$C$1500,$C5)</f>
        <v>0</v>
      </c>
      <c r="AH5" s="3">
        <f>COUNTIFS(Input!$B$1:$B$1500,O$17,Input!$C$1:$C$1500,$C5,Input!$D$1:$D$1500,"R")/COUNTIFS(Input!$B$1:$B$1500,O$17,Input!$C$1:$C$1500,$C5)</f>
        <v>0</v>
      </c>
      <c r="AI5" s="3">
        <f>COUNTIFS(Input!$B$1:$B$1500,P$17,Input!$C$1:$C$1500,$C5,Input!$D$1:$D$1500,"R")/COUNTIFS(Input!$B$1:$B$1500,P$17,Input!$C$1:$C$1500,$C5)</f>
        <v>0</v>
      </c>
      <c r="AJ5" s="3">
        <f>COUNTIFS(Input!$B$1:$B$1500,Q$17,Input!$C$1:$C$1500,$C5,Input!$D$1:$D$1500,"R")/COUNTIFS(Input!$B$1:$B$1500,Q$17,Input!$C$1:$C$1500,$C5)</f>
        <v>0</v>
      </c>
      <c r="AK5" s="3">
        <f>COUNTIFS(Input!$B$1:$B$1500,R$17,Input!$C$1:$C$1500,$C5,Input!$D$1:$D$1500,"R")/COUNTIFS(Input!$B$1:$B$1500,R$17,Input!$C$1:$C$1500,$C5)</f>
        <v>0</v>
      </c>
      <c r="AL5" s="3">
        <f>COUNTIFS(Input!$B$1:$B$1500,S$17,Input!$C$1:$C$1500,$C5,Input!$D$1:$D$1500,"R")/COUNTIFS(Input!$B$1:$B$1500,S$17,Input!$C$1:$C$1500,$C5)</f>
        <v>0</v>
      </c>
      <c r="AM5" s="3" t="e">
        <f>COUNTIFS(Input!$B$1:$B$1500,T$17,Input!$C$1:$C$1500,$C5,Input!$D$1:$D$1500,"R")/COUNTIFS(Input!$B$1:$B$1500,T$17,Input!$C$1:$C$1500,$C5)</f>
        <v>#DIV/0!</v>
      </c>
      <c r="AN5" s="3">
        <f>COUNTIFS(Input!$B$1:$B$1500,U$17,Input!$C$1:$C$1500,$C5,Input!$D$1:$D$1500,"R")/COUNTIFS(Input!$B$1:$B$1500,U$17,Input!$C$1:$C$1500,$C5)</f>
        <v>0</v>
      </c>
      <c r="AO5" s="3">
        <f>COUNTIFS(Input!$B$1:$B$1500,V$17,Input!$C$1:$C$1500,$C5,Input!$D$1:$D$1500,"R")/COUNTIFS(Input!$B$1:$B$1500,V$17,Input!$C$1:$C$1500,$C5)</f>
        <v>0</v>
      </c>
    </row>
    <row r="6" spans="1:43" s="2" customFormat="1" ht="22" customHeight="1">
      <c r="C6" s="5" t="s">
        <v>1022</v>
      </c>
      <c r="D6" s="6"/>
      <c r="E6" s="6"/>
      <c r="F6" s="6"/>
      <c r="G6" s="6"/>
      <c r="H6" s="6"/>
      <c r="I6" s="6" t="str">
        <f>COUNTIFS(Input!$B$1:$B$1500,I$17,Input!$C$1:$C$1500,$C6,Input!$D$1:$D$1500,"R")&amp;"/"&amp;COUNTIFS(Input!$B$1:$B$1500,I$17,Input!$C$1:$C$1500,$C6)</f>
        <v>0/10</v>
      </c>
      <c r="J6" s="6"/>
      <c r="K6" s="6"/>
      <c r="L6" s="6" t="str">
        <f>COUNTIFS(Input!$B$1:$B$1500,L$17,Input!$C$1:$C$1500,$C6,Input!$D$1:$D$1500,"R")&amp;"/"&amp;COUNTIFS(Input!$B$1:$B$1500,L$17,Input!$C$1:$C$1500,$C6)</f>
        <v>0/13</v>
      </c>
      <c r="M6" s="6" t="str">
        <f>COUNTIFS(Input!$B$1:$B$1500,M$17,Input!$C$1:$C$1500,$C6,Input!$D$1:$D$1500,"R")&amp;"/"&amp;COUNTIFS(Input!$B$1:$B$1500,M$17,Input!$C$1:$C$1500,$C6)</f>
        <v>0/12</v>
      </c>
      <c r="N6" s="6" t="str">
        <f>COUNTIFS(Input!$B$1:$B$1500,N$17,Input!$C$1:$C$1500,$C6,Input!$D$1:$D$1500,"R")&amp;"/"&amp;COUNTIFS(Input!$B$1:$B$1500,N$17,Input!$C$1:$C$1500,$C6)</f>
        <v>0/8</v>
      </c>
      <c r="O6" s="6" t="str">
        <f>COUNTIFS(Input!$B$1:$B$1500,O$17,Input!$C$1:$C$1500,$C6,Input!$D$1:$D$1500,"R")&amp;"/"&amp;COUNTIFS(Input!$B$1:$B$1500,O$17,Input!$C$1:$C$1500,$C6)</f>
        <v>0/9</v>
      </c>
      <c r="P6" s="6" t="str">
        <f>COUNTIFS(Input!$B$1:$B$1500,P$17,Input!$C$1:$C$1500,$C6,Input!$D$1:$D$1500,"R")&amp;"/"&amp;COUNTIFS(Input!$B$1:$B$1500,P$17,Input!$C$1:$C$1500,$C6)</f>
        <v>0/5</v>
      </c>
      <c r="Q6" s="6" t="str">
        <f>COUNTIFS(Input!$B$1:$B$1500,Q$17,Input!$C$1:$C$1500,$C6,Input!$D$1:$D$1500,"R")&amp;"/"&amp;COUNTIFS(Input!$B$1:$B$1500,Q$17,Input!$C$1:$C$1500,$C6)</f>
        <v>0/4</v>
      </c>
      <c r="R6" s="6" t="str">
        <f>COUNTIFS(Input!$B$1:$B$1500,R$17,Input!$C$1:$C$1500,$C6,Input!$D$1:$D$1500,"R")&amp;"/"&amp;COUNTIFS(Input!$B$1:$B$1500,R$17,Input!$C$1:$C$1500,$C6)</f>
        <v>0/4</v>
      </c>
      <c r="S6" s="6" t="str">
        <f>COUNTIFS(Input!$B$1:$B$1500,S$17,Input!$C$1:$C$1500,$C6,Input!$D$1:$D$1500,"R")&amp;"/"&amp;COUNTIFS(Input!$B$1:$B$1500,S$17,Input!$C$1:$C$1500,$C6)</f>
        <v>0/5</v>
      </c>
      <c r="T6" s="6"/>
      <c r="U6" s="6" t="str">
        <f>COUNTIFS(Input!$B$1:$B$1500,U$17,Input!$C$1:$C$1500,$C6,Input!$D$1:$D$1500,"R")&amp;"/"&amp;COUNTIFS(Input!$B$1:$B$1500,U$17,Input!$C$1:$C$1500,$C6)</f>
        <v>0/6</v>
      </c>
      <c r="V6" s="6" t="str">
        <f>COUNTIFS(Input!$B$1:$B$1500,V$17,Input!$C$1:$C$1500,$C6,Input!$D$1:$D$1500,"R")&amp;"/"&amp;COUNTIFS(Input!$B$1:$B$1500,V$17,Input!$C$1:$C$1500,$C6)</f>
        <v>0/11</v>
      </c>
      <c r="W6" s="3" t="e">
        <f>COUNTIFS(Input!$B$1:$B$1500,D$17,Input!$C$1:$C$1500,$C6,Input!$D$1:$D$1500,"R")/COUNTIFS(Input!$B$1:$B$1500,D$17,Input!$C$1:$C$1500,$C6)</f>
        <v>#DIV/0!</v>
      </c>
      <c r="X6" s="3" t="e">
        <f>COUNTIFS(Input!$B$1:$B$1500,E$17,Input!$C$1:$C$1500,$C6,Input!$D$1:$D$1500,"R")/COUNTIFS(Input!$B$1:$B$1500,E$17,Input!$C$1:$C$1500,$C6)</f>
        <v>#DIV/0!</v>
      </c>
      <c r="Y6" s="3" t="e">
        <f>COUNTIFS(Input!$B$1:$B$1500,F$17,Input!$C$1:$C$1500,$C6,Input!$D$1:$D$1500,"R")/COUNTIFS(Input!$B$1:$B$1500,F$17,Input!$C$1:$C$1500,$C6)</f>
        <v>#DIV/0!</v>
      </c>
      <c r="Z6" s="3" t="e">
        <f>COUNTIFS(Input!$B$1:$B$1500,G$17,Input!$C$1:$C$1500,$C6,Input!$D$1:$D$1500,"R")/COUNTIFS(Input!$B$1:$B$1500,G$17,Input!$C$1:$C$1500,$C6)</f>
        <v>#DIV/0!</v>
      </c>
      <c r="AA6" s="3" t="e">
        <f>COUNTIFS(Input!$B$1:$B$1500,H$17,Input!$C$1:$C$1500,$C6,Input!$D$1:$D$1500,"R")/COUNTIFS(Input!$B$1:$B$1500,H$17,Input!$C$1:$C$1500,$C6)</f>
        <v>#DIV/0!</v>
      </c>
      <c r="AB6" s="3">
        <f>COUNTIFS(Input!$B$1:$B$1500,I$17,Input!$C$1:$C$1500,$C6,Input!$D$1:$D$1500,"R")/COUNTIFS(Input!$B$1:$B$1500,I$17,Input!$C$1:$C$1500,$C6)</f>
        <v>0</v>
      </c>
      <c r="AC6" s="3" t="e">
        <f>COUNTIFS(Input!$B$1:$B$1500,J$17,Input!$C$1:$C$1500,$C6,Input!$D$1:$D$1500,"R")/COUNTIFS(Input!$B$1:$B$1500,J$17,Input!$C$1:$C$1500,$C6)</f>
        <v>#DIV/0!</v>
      </c>
      <c r="AD6" s="3" t="e">
        <f>COUNTIFS(Input!$B$1:$B$1500,K$17,Input!$C$1:$C$1500,$C6,Input!$D$1:$D$1500,"R")/COUNTIFS(Input!$B$1:$B$1500,K$17,Input!$C$1:$C$1500,$C6)</f>
        <v>#DIV/0!</v>
      </c>
      <c r="AE6" s="3">
        <f>COUNTIFS(Input!$B$1:$B$1500,L$17,Input!$C$1:$C$1500,$C6,Input!$D$1:$D$1500,"R")/COUNTIFS(Input!$B$1:$B$1500,L$17,Input!$C$1:$C$1500,$C6)</f>
        <v>0</v>
      </c>
      <c r="AF6" s="3">
        <f>COUNTIFS(Input!$B$1:$B$1500,M$17,Input!$C$1:$C$1500,$C6,Input!$D$1:$D$1500,"R")/COUNTIFS(Input!$B$1:$B$1500,M$17,Input!$C$1:$C$1500,$C6)</f>
        <v>0</v>
      </c>
      <c r="AG6" s="3">
        <f>COUNTIFS(Input!$B$1:$B$1500,N$17,Input!$C$1:$C$1500,$C6,Input!$D$1:$D$1500,"R")/COUNTIFS(Input!$B$1:$B$1500,N$17,Input!$C$1:$C$1500,$C6)</f>
        <v>0</v>
      </c>
      <c r="AH6" s="3">
        <f>COUNTIFS(Input!$B$1:$B$1500,O$17,Input!$C$1:$C$1500,$C6,Input!$D$1:$D$1500,"R")/COUNTIFS(Input!$B$1:$B$1500,O$17,Input!$C$1:$C$1500,$C6)</f>
        <v>0</v>
      </c>
      <c r="AI6" s="3">
        <f>COUNTIFS(Input!$B$1:$B$1500,P$17,Input!$C$1:$C$1500,$C6,Input!$D$1:$D$1500,"R")/COUNTIFS(Input!$B$1:$B$1500,P$17,Input!$C$1:$C$1500,$C6)</f>
        <v>0</v>
      </c>
      <c r="AJ6" s="3">
        <f>COUNTIFS(Input!$B$1:$B$1500,Q$17,Input!$C$1:$C$1500,$C6,Input!$D$1:$D$1500,"R")/COUNTIFS(Input!$B$1:$B$1500,Q$17,Input!$C$1:$C$1500,$C6)</f>
        <v>0</v>
      </c>
      <c r="AK6" s="3">
        <f>COUNTIFS(Input!$B$1:$B$1500,R$17,Input!$C$1:$C$1500,$C6,Input!$D$1:$D$1500,"R")/COUNTIFS(Input!$B$1:$B$1500,R$17,Input!$C$1:$C$1500,$C6)</f>
        <v>0</v>
      </c>
      <c r="AL6" s="3">
        <f>COUNTIFS(Input!$B$1:$B$1500,S$17,Input!$C$1:$C$1500,$C6,Input!$D$1:$D$1500,"R")/COUNTIFS(Input!$B$1:$B$1500,S$17,Input!$C$1:$C$1500,$C6)</f>
        <v>0</v>
      </c>
      <c r="AM6" s="3" t="e">
        <f>COUNTIFS(Input!$B$1:$B$1500,T$17,Input!$C$1:$C$1500,$C6,Input!$D$1:$D$1500,"R")/COUNTIFS(Input!$B$1:$B$1500,T$17,Input!$C$1:$C$1500,$C6)</f>
        <v>#DIV/0!</v>
      </c>
      <c r="AN6" s="3">
        <f>COUNTIFS(Input!$B$1:$B$1500,U$17,Input!$C$1:$C$1500,$C6,Input!$D$1:$D$1500,"R")/COUNTIFS(Input!$B$1:$B$1500,U$17,Input!$C$1:$C$1500,$C6)</f>
        <v>0</v>
      </c>
      <c r="AO6" s="3">
        <f>COUNTIFS(Input!$B$1:$B$1500,V$17,Input!$C$1:$C$1500,$C6,Input!$D$1:$D$1500,"R")/COUNTIFS(Input!$B$1:$B$1500,V$17,Input!$C$1:$C$1500,$C6)</f>
        <v>0</v>
      </c>
    </row>
    <row r="7" spans="1:43" s="2" customFormat="1" ht="22" customHeight="1">
      <c r="C7" s="5" t="s">
        <v>938</v>
      </c>
      <c r="D7" s="6"/>
      <c r="E7" s="6"/>
      <c r="F7" s="6"/>
      <c r="G7" s="6" t="str">
        <f>COUNTIFS(Input!$B$1:$B$1500,G$17,Input!$C$1:$C$1500,$C7,Input!$D$1:$D$1500,"R")&amp;"/"&amp;COUNTIFS(Input!$B$1:$B$1500,G$17,Input!$C$1:$C$1500,$C7)</f>
        <v>0/2</v>
      </c>
      <c r="H7" s="6" t="str">
        <f>COUNTIFS(Input!$B$1:$B$1500,H$17,Input!$C$1:$C$1500,$C7,Input!$D$1:$D$1500,"R")&amp;"/"&amp;COUNTIFS(Input!$B$1:$B$1500,H$17,Input!$C$1:$C$1500,$C7)</f>
        <v>0/1</v>
      </c>
      <c r="I7" s="6" t="str">
        <f>COUNTIFS(Input!$B$1:$B$1500,I$17,Input!$C$1:$C$1500,$C7,Input!$D$1:$D$1500,"R")&amp;"/"&amp;COUNTIFS(Input!$B$1:$B$1500,I$17,Input!$C$1:$C$1500,$C7)</f>
        <v>0/6</v>
      </c>
      <c r="J7" s="6"/>
      <c r="K7" s="6"/>
      <c r="L7" s="6" t="str">
        <f>COUNTIFS(Input!$B$1:$B$1500,L$17,Input!$C$1:$C$1500,$C7,Input!$D$1:$D$1500,"R")&amp;"/"&amp;COUNTIFS(Input!$B$1:$B$1500,L$17,Input!$C$1:$C$1500,$C7)</f>
        <v>0/7</v>
      </c>
      <c r="M7" s="6" t="str">
        <f>COUNTIFS(Input!$B$1:$B$1500,M$17,Input!$C$1:$C$1500,$C7,Input!$D$1:$D$1500,"R")&amp;"/"&amp;COUNTIFS(Input!$B$1:$B$1500,M$17,Input!$C$1:$C$1500,$C7)</f>
        <v>0/8</v>
      </c>
      <c r="N7" s="6" t="str">
        <f>COUNTIFS(Input!$B$1:$B$1500,N$17,Input!$C$1:$C$1500,$C7,Input!$D$1:$D$1500,"R")&amp;"/"&amp;COUNTIFS(Input!$B$1:$B$1500,N$17,Input!$C$1:$C$1500,$C7)</f>
        <v>0/7</v>
      </c>
      <c r="O7" s="6" t="str">
        <f>COUNTIFS(Input!$B$1:$B$1500,O$17,Input!$C$1:$C$1500,$C7,Input!$D$1:$D$1500,"R")&amp;"/"&amp;COUNTIFS(Input!$B$1:$B$1500,O$17,Input!$C$1:$C$1500,$C7)</f>
        <v>0/7</v>
      </c>
      <c r="P7" s="6" t="str">
        <f>COUNTIFS(Input!$B$1:$B$1500,P$17,Input!$C$1:$C$1500,$C7,Input!$D$1:$D$1500,"R")&amp;"/"&amp;COUNTIFS(Input!$B$1:$B$1500,P$17,Input!$C$1:$C$1500,$C7)</f>
        <v>0/3</v>
      </c>
      <c r="Q7" s="6" t="str">
        <f>COUNTIFS(Input!$B$1:$B$1500,Q$17,Input!$C$1:$C$1500,$C7,Input!$D$1:$D$1500,"R")&amp;"/"&amp;COUNTIFS(Input!$B$1:$B$1500,Q$17,Input!$C$1:$C$1500,$C7)</f>
        <v>0/1</v>
      </c>
      <c r="R7" s="6" t="str">
        <f>COUNTIFS(Input!$B$1:$B$1500,R$17,Input!$C$1:$C$1500,$C7,Input!$D$1:$D$1500,"R")&amp;"/"&amp;COUNTIFS(Input!$B$1:$B$1500,R$17,Input!$C$1:$C$1500,$C7)</f>
        <v>0/5</v>
      </c>
      <c r="S7" s="6" t="str">
        <f>COUNTIFS(Input!$B$1:$B$1500,S$17,Input!$C$1:$C$1500,$C7,Input!$D$1:$D$1500,"R")&amp;"/"&amp;COUNTIFS(Input!$B$1:$B$1500,S$17,Input!$C$1:$C$1500,$C7)</f>
        <v>0/7</v>
      </c>
      <c r="T7" s="6"/>
      <c r="U7" s="6" t="str">
        <f>COUNTIFS(Input!$B$1:$B$1500,U$17,Input!$C$1:$C$1500,$C7,Input!$D$1:$D$1500,"R")&amp;"/"&amp;COUNTIFS(Input!$B$1:$B$1500,U$17,Input!$C$1:$C$1500,$C7)</f>
        <v>0/3</v>
      </c>
      <c r="V7" s="6" t="str">
        <f>COUNTIFS(Input!$B$1:$B$1500,V$17,Input!$C$1:$C$1500,$C7,Input!$D$1:$D$1500,"R")&amp;"/"&amp;COUNTIFS(Input!$B$1:$B$1500,V$17,Input!$C$1:$C$1500,$C7)</f>
        <v>0/13</v>
      </c>
      <c r="W7" s="3" t="e">
        <f>COUNTIFS(Input!$B$1:$B$1500,D$17,Input!$C$1:$C$1500,$C7,Input!$D$1:$D$1500,"R")/COUNTIFS(Input!$B$1:$B$1500,D$17,Input!$C$1:$C$1500,$C7)</f>
        <v>#DIV/0!</v>
      </c>
      <c r="X7" s="3" t="e">
        <f>COUNTIFS(Input!$B$1:$B$1500,E$17,Input!$C$1:$C$1500,$C7,Input!$D$1:$D$1500,"R")/COUNTIFS(Input!$B$1:$B$1500,E$17,Input!$C$1:$C$1500,$C7)</f>
        <v>#DIV/0!</v>
      </c>
      <c r="Y7" s="3" t="e">
        <f>COUNTIFS(Input!$B$1:$B$1500,F$17,Input!$C$1:$C$1500,$C7,Input!$D$1:$D$1500,"R")/COUNTIFS(Input!$B$1:$B$1500,F$17,Input!$C$1:$C$1500,$C7)</f>
        <v>#DIV/0!</v>
      </c>
      <c r="Z7" s="3">
        <f>COUNTIFS(Input!$B$1:$B$1500,G$17,Input!$C$1:$C$1500,$C7,Input!$D$1:$D$1500,"R")/COUNTIFS(Input!$B$1:$B$1500,G$17,Input!$C$1:$C$1500,$C7)</f>
        <v>0</v>
      </c>
      <c r="AA7" s="3">
        <f>COUNTIFS(Input!$B$1:$B$1500,H$17,Input!$C$1:$C$1500,$C7,Input!$D$1:$D$1500,"R")/COUNTIFS(Input!$B$1:$B$1500,H$17,Input!$C$1:$C$1500,$C7)</f>
        <v>0</v>
      </c>
      <c r="AB7" s="3">
        <f>COUNTIFS(Input!$B$1:$B$1500,I$17,Input!$C$1:$C$1500,$C7,Input!$D$1:$D$1500,"R")/COUNTIFS(Input!$B$1:$B$1500,I$17,Input!$C$1:$C$1500,$C7)</f>
        <v>0</v>
      </c>
      <c r="AC7" s="3" t="e">
        <f>COUNTIFS(Input!$B$1:$B$1500,J$17,Input!$C$1:$C$1500,$C7,Input!$D$1:$D$1500,"R")/COUNTIFS(Input!$B$1:$B$1500,J$17,Input!$C$1:$C$1500,$C7)</f>
        <v>#DIV/0!</v>
      </c>
      <c r="AD7" s="3" t="e">
        <f>COUNTIFS(Input!$B$1:$B$1500,K$17,Input!$C$1:$C$1500,$C7,Input!$D$1:$D$1500,"R")/COUNTIFS(Input!$B$1:$B$1500,K$17,Input!$C$1:$C$1500,$C7)</f>
        <v>#DIV/0!</v>
      </c>
      <c r="AE7" s="3">
        <f>COUNTIFS(Input!$B$1:$B$1500,L$17,Input!$C$1:$C$1500,$C7,Input!$D$1:$D$1500,"R")/COUNTIFS(Input!$B$1:$B$1500,L$17,Input!$C$1:$C$1500,$C7)</f>
        <v>0</v>
      </c>
      <c r="AF7" s="3">
        <f>COUNTIFS(Input!$B$1:$B$1500,M$17,Input!$C$1:$C$1500,$C7,Input!$D$1:$D$1500,"R")/COUNTIFS(Input!$B$1:$B$1500,M$17,Input!$C$1:$C$1500,$C7)</f>
        <v>0</v>
      </c>
      <c r="AG7" s="3">
        <f>COUNTIFS(Input!$B$1:$B$1500,N$17,Input!$C$1:$C$1500,$C7,Input!$D$1:$D$1500,"R")/COUNTIFS(Input!$B$1:$B$1500,N$17,Input!$C$1:$C$1500,$C7)</f>
        <v>0</v>
      </c>
      <c r="AH7" s="3">
        <f>COUNTIFS(Input!$B$1:$B$1500,O$17,Input!$C$1:$C$1500,$C7,Input!$D$1:$D$1500,"R")/COUNTIFS(Input!$B$1:$B$1500,O$17,Input!$C$1:$C$1500,$C7)</f>
        <v>0</v>
      </c>
      <c r="AI7" s="3">
        <f>COUNTIFS(Input!$B$1:$B$1500,P$17,Input!$C$1:$C$1500,$C7,Input!$D$1:$D$1500,"R")/COUNTIFS(Input!$B$1:$B$1500,P$17,Input!$C$1:$C$1500,$C7)</f>
        <v>0</v>
      </c>
      <c r="AJ7" s="3">
        <f>COUNTIFS(Input!$B$1:$B$1500,Q$17,Input!$C$1:$C$1500,$C7,Input!$D$1:$D$1500,"R")/COUNTIFS(Input!$B$1:$B$1500,Q$17,Input!$C$1:$C$1500,$C7)</f>
        <v>0</v>
      </c>
      <c r="AK7" s="3">
        <f>COUNTIFS(Input!$B$1:$B$1500,R$17,Input!$C$1:$C$1500,$C7,Input!$D$1:$D$1500,"R")/COUNTIFS(Input!$B$1:$B$1500,R$17,Input!$C$1:$C$1500,$C7)</f>
        <v>0</v>
      </c>
      <c r="AL7" s="3">
        <f>COUNTIFS(Input!$B$1:$B$1500,S$17,Input!$C$1:$C$1500,$C7,Input!$D$1:$D$1500,"R")/COUNTIFS(Input!$B$1:$B$1500,S$17,Input!$C$1:$C$1500,$C7)</f>
        <v>0</v>
      </c>
      <c r="AM7" s="3" t="e">
        <f>COUNTIFS(Input!$B$1:$B$1500,T$17,Input!$C$1:$C$1500,$C7,Input!$D$1:$D$1500,"R")/COUNTIFS(Input!$B$1:$B$1500,T$17,Input!$C$1:$C$1500,$C7)</f>
        <v>#DIV/0!</v>
      </c>
      <c r="AN7" s="3">
        <f>COUNTIFS(Input!$B$1:$B$1500,U$17,Input!$C$1:$C$1500,$C7,Input!$D$1:$D$1500,"R")/COUNTIFS(Input!$B$1:$B$1500,U$17,Input!$C$1:$C$1500,$C7)</f>
        <v>0</v>
      </c>
      <c r="AO7" s="3">
        <f>COUNTIFS(Input!$B$1:$B$1500,V$17,Input!$C$1:$C$1500,$C7,Input!$D$1:$D$1500,"R")/COUNTIFS(Input!$B$1:$B$1500,V$17,Input!$C$1:$C$1500,$C7)</f>
        <v>0</v>
      </c>
    </row>
    <row r="8" spans="1:43" s="2" customFormat="1" ht="22" customHeight="1">
      <c r="C8" s="5" t="s">
        <v>870</v>
      </c>
      <c r="D8" s="6"/>
      <c r="E8" s="6"/>
      <c r="F8" s="6"/>
      <c r="G8" s="6" t="str">
        <f>COUNTIFS(Input!$B$1:$B$1500,G$17,Input!$C$1:$C$1500,$C8,Input!$D$1:$D$1500,"R")&amp;"/"&amp;COUNTIFS(Input!$B$1:$B$1500,G$17,Input!$C$1:$C$1500,$C8)</f>
        <v>0/1</v>
      </c>
      <c r="H8" s="6" t="str">
        <f>COUNTIFS(Input!$B$1:$B$1500,H$17,Input!$C$1:$C$1500,$C8,Input!$D$1:$D$1500,"R")&amp;"/"&amp;COUNTIFS(Input!$B$1:$B$1500,H$17,Input!$C$1:$C$1500,$C8)</f>
        <v>0/2</v>
      </c>
      <c r="I8" s="6" t="str">
        <f>COUNTIFS(Input!$B$1:$B$1500,I$17,Input!$C$1:$C$1500,$C8,Input!$D$1:$D$1500,"R")&amp;"/"&amp;COUNTIFS(Input!$B$1:$B$1500,I$17,Input!$C$1:$C$1500,$C8)</f>
        <v>0/6</v>
      </c>
      <c r="J8" s="6"/>
      <c r="K8" s="6"/>
      <c r="L8" s="6" t="str">
        <f>COUNTIFS(Input!$B$1:$B$1500,L$17,Input!$C$1:$C$1500,$C8,Input!$D$1:$D$1500,"R")&amp;"/"&amp;COUNTIFS(Input!$B$1:$B$1500,L$17,Input!$C$1:$C$1500,$C8)</f>
        <v>0/9</v>
      </c>
      <c r="M8" s="6" t="str">
        <f>COUNTIFS(Input!$B$1:$B$1500,M$17,Input!$C$1:$C$1500,$C8,Input!$D$1:$D$1500,"R")&amp;"/"&amp;COUNTIFS(Input!$B$1:$B$1500,M$17,Input!$C$1:$C$1500,$C8)</f>
        <v>0/6</v>
      </c>
      <c r="N8" s="6" t="str">
        <f>COUNTIFS(Input!$B$1:$B$1500,N$17,Input!$C$1:$C$1500,$C8,Input!$D$1:$D$1500,"R")&amp;"/"&amp;COUNTIFS(Input!$B$1:$B$1500,N$17,Input!$C$1:$C$1500,$C8)</f>
        <v>0/5</v>
      </c>
      <c r="O8" s="6" t="str">
        <f>COUNTIFS(Input!$B$1:$B$1500,O$17,Input!$C$1:$C$1500,$C8,Input!$D$1:$D$1500,"R")&amp;"/"&amp;COUNTIFS(Input!$B$1:$B$1500,O$17,Input!$C$1:$C$1500,$C8)</f>
        <v>0/4</v>
      </c>
      <c r="P8" s="6" t="str">
        <f>COUNTIFS(Input!$B$1:$B$1500,P$17,Input!$C$1:$C$1500,$C8,Input!$D$1:$D$1500,"R")&amp;"/"&amp;COUNTIFS(Input!$B$1:$B$1500,P$17,Input!$C$1:$C$1500,$C8)</f>
        <v>0/2</v>
      </c>
      <c r="Q8" s="6" t="str">
        <f>COUNTIFS(Input!$B$1:$B$1500,Q$17,Input!$C$1:$C$1500,$C8,Input!$D$1:$D$1500,"R")&amp;"/"&amp;COUNTIFS(Input!$B$1:$B$1500,Q$17,Input!$C$1:$C$1500,$C8)</f>
        <v>0/3</v>
      </c>
      <c r="R8" s="6" t="str">
        <f>COUNTIFS(Input!$B$1:$B$1500,R$17,Input!$C$1:$C$1500,$C8,Input!$D$1:$D$1500,"R")&amp;"/"&amp;COUNTIFS(Input!$B$1:$B$1500,R$17,Input!$C$1:$C$1500,$C8)</f>
        <v>0/5</v>
      </c>
      <c r="S8" s="6" t="str">
        <f>COUNTIFS(Input!$B$1:$B$1500,S$17,Input!$C$1:$C$1500,$C8,Input!$D$1:$D$1500,"R")&amp;"/"&amp;COUNTIFS(Input!$B$1:$B$1500,S$17,Input!$C$1:$C$1500,$C8)</f>
        <v>0/2</v>
      </c>
      <c r="T8" s="6"/>
      <c r="U8" s="6" t="str">
        <f>COUNTIFS(Input!$B$1:$B$1500,U$17,Input!$C$1:$C$1500,$C8,Input!$D$1:$D$1500,"R")&amp;"/"&amp;COUNTIFS(Input!$B$1:$B$1500,U$17,Input!$C$1:$C$1500,$C8)</f>
        <v>0/5</v>
      </c>
      <c r="V8" s="6" t="str">
        <f>COUNTIFS(Input!$B$1:$B$1500,V$17,Input!$C$1:$C$1500,$C8,Input!$D$1:$D$1500,"R")&amp;"/"&amp;COUNTIFS(Input!$B$1:$B$1500,V$17,Input!$C$1:$C$1500,$C8)</f>
        <v>0/5</v>
      </c>
      <c r="W8" s="3" t="e">
        <f>COUNTIFS(Input!$B$1:$B$1500,D$17,Input!$C$1:$C$1500,$C8,Input!$D$1:$D$1500,"R")/COUNTIFS(Input!$B$1:$B$1500,D$17,Input!$C$1:$C$1500,$C8)</f>
        <v>#DIV/0!</v>
      </c>
      <c r="X8" s="3" t="e">
        <f>COUNTIFS(Input!$B$1:$B$1500,E$17,Input!$C$1:$C$1500,$C8,Input!$D$1:$D$1500,"R")/COUNTIFS(Input!$B$1:$B$1500,E$17,Input!$C$1:$C$1500,$C8)</f>
        <v>#DIV/0!</v>
      </c>
      <c r="Y8" s="3" t="e">
        <f>COUNTIFS(Input!$B$1:$B$1500,F$17,Input!$C$1:$C$1500,$C8,Input!$D$1:$D$1500,"R")/COUNTIFS(Input!$B$1:$B$1500,F$17,Input!$C$1:$C$1500,$C8)</f>
        <v>#DIV/0!</v>
      </c>
      <c r="Z8" s="3">
        <f>COUNTIFS(Input!$B$1:$B$1500,G$17,Input!$C$1:$C$1500,$C8,Input!$D$1:$D$1500,"R")/COUNTIFS(Input!$B$1:$B$1500,G$17,Input!$C$1:$C$1500,$C8)</f>
        <v>0</v>
      </c>
      <c r="AA8" s="3">
        <f>COUNTIFS(Input!$B$1:$B$1500,H$17,Input!$C$1:$C$1500,$C8,Input!$D$1:$D$1500,"R")/COUNTIFS(Input!$B$1:$B$1500,H$17,Input!$C$1:$C$1500,$C8)</f>
        <v>0</v>
      </c>
      <c r="AB8" s="3">
        <f>COUNTIFS(Input!$B$1:$B$1500,I$17,Input!$C$1:$C$1500,$C8,Input!$D$1:$D$1500,"R")/COUNTIFS(Input!$B$1:$B$1500,I$17,Input!$C$1:$C$1500,$C8)</f>
        <v>0</v>
      </c>
      <c r="AC8" s="3" t="e">
        <f>COUNTIFS(Input!$B$1:$B$1500,J$17,Input!$C$1:$C$1500,$C8,Input!$D$1:$D$1500,"R")/COUNTIFS(Input!$B$1:$B$1500,J$17,Input!$C$1:$C$1500,$C8)</f>
        <v>#DIV/0!</v>
      </c>
      <c r="AD8" s="3" t="e">
        <f>COUNTIFS(Input!$B$1:$B$1500,K$17,Input!$C$1:$C$1500,$C8,Input!$D$1:$D$1500,"R")/COUNTIFS(Input!$B$1:$B$1500,K$17,Input!$C$1:$C$1500,$C8)</f>
        <v>#DIV/0!</v>
      </c>
      <c r="AE8" s="3">
        <f>COUNTIFS(Input!$B$1:$B$1500,L$17,Input!$C$1:$C$1500,$C8,Input!$D$1:$D$1500,"R")/COUNTIFS(Input!$B$1:$B$1500,L$17,Input!$C$1:$C$1500,$C8)</f>
        <v>0</v>
      </c>
      <c r="AF8" s="3">
        <f>COUNTIFS(Input!$B$1:$B$1500,M$17,Input!$C$1:$C$1500,$C8,Input!$D$1:$D$1500,"R")/COUNTIFS(Input!$B$1:$B$1500,M$17,Input!$C$1:$C$1500,$C8)</f>
        <v>0</v>
      </c>
      <c r="AG8" s="3">
        <f>COUNTIFS(Input!$B$1:$B$1500,N$17,Input!$C$1:$C$1500,$C8,Input!$D$1:$D$1500,"R")/COUNTIFS(Input!$B$1:$B$1500,N$17,Input!$C$1:$C$1500,$C8)</f>
        <v>0</v>
      </c>
      <c r="AH8" s="3">
        <f>COUNTIFS(Input!$B$1:$B$1500,O$17,Input!$C$1:$C$1500,$C8,Input!$D$1:$D$1500,"R")/COUNTIFS(Input!$B$1:$B$1500,O$17,Input!$C$1:$C$1500,$C8)</f>
        <v>0</v>
      </c>
      <c r="AI8" s="3">
        <f>COUNTIFS(Input!$B$1:$B$1500,P$17,Input!$C$1:$C$1500,$C8,Input!$D$1:$D$1500,"R")/COUNTIFS(Input!$B$1:$B$1500,P$17,Input!$C$1:$C$1500,$C8)</f>
        <v>0</v>
      </c>
      <c r="AJ8" s="3">
        <f>COUNTIFS(Input!$B$1:$B$1500,Q$17,Input!$C$1:$C$1500,$C8,Input!$D$1:$D$1500,"R")/COUNTIFS(Input!$B$1:$B$1500,Q$17,Input!$C$1:$C$1500,$C8)</f>
        <v>0</v>
      </c>
      <c r="AK8" s="3">
        <f>COUNTIFS(Input!$B$1:$B$1500,R$17,Input!$C$1:$C$1500,$C8,Input!$D$1:$D$1500,"R")/COUNTIFS(Input!$B$1:$B$1500,R$17,Input!$C$1:$C$1500,$C8)</f>
        <v>0</v>
      </c>
      <c r="AL8" s="3">
        <f>COUNTIFS(Input!$B$1:$B$1500,S$17,Input!$C$1:$C$1500,$C8,Input!$D$1:$D$1500,"R")/COUNTIFS(Input!$B$1:$B$1500,S$17,Input!$C$1:$C$1500,$C8)</f>
        <v>0</v>
      </c>
      <c r="AM8" s="3" t="e">
        <f>COUNTIFS(Input!$B$1:$B$1500,T$17,Input!$C$1:$C$1500,$C8,Input!$D$1:$D$1500,"R")/COUNTIFS(Input!$B$1:$B$1500,T$17,Input!$C$1:$C$1500,$C8)</f>
        <v>#DIV/0!</v>
      </c>
      <c r="AN8" s="3">
        <f>COUNTIFS(Input!$B$1:$B$1500,U$17,Input!$C$1:$C$1500,$C8,Input!$D$1:$D$1500,"R")/COUNTIFS(Input!$B$1:$B$1500,U$17,Input!$C$1:$C$1500,$C8)</f>
        <v>0</v>
      </c>
      <c r="AO8" s="3">
        <f>COUNTIFS(Input!$B$1:$B$1500,V$17,Input!$C$1:$C$1500,$C8,Input!$D$1:$D$1500,"R")/COUNTIFS(Input!$B$1:$B$1500,V$17,Input!$C$1:$C$1500,$C8)</f>
        <v>0</v>
      </c>
    </row>
    <row r="9" spans="1:43" s="2" customFormat="1" ht="22" customHeight="1">
      <c r="C9" s="5" t="s">
        <v>747</v>
      </c>
      <c r="D9" s="6"/>
      <c r="E9" s="6"/>
      <c r="F9" s="6"/>
      <c r="G9" s="6" t="str">
        <f>COUNTIFS(Input!$B$1:$B$1500,G$17,Input!$C$1:$C$1500,$C9,Input!$D$1:$D$1500,"R")&amp;"/"&amp;COUNTIFS(Input!$B$1:$B$1500,G$17,Input!$C$1:$C$1500,$C9)</f>
        <v>0/1</v>
      </c>
      <c r="H9" s="6" t="str">
        <f>COUNTIFS(Input!$B$1:$B$1500,H$17,Input!$C$1:$C$1500,$C9,Input!$D$1:$D$1500,"R")&amp;"/"&amp;COUNTIFS(Input!$B$1:$B$1500,H$17,Input!$C$1:$C$1500,$C9)</f>
        <v>0/4</v>
      </c>
      <c r="I9" s="6" t="str">
        <f>COUNTIFS(Input!$B$1:$B$1500,I$17,Input!$C$1:$C$1500,$C9,Input!$D$1:$D$1500,"R")&amp;"/"&amp;COUNTIFS(Input!$B$1:$B$1500,I$17,Input!$C$1:$C$1500,$C9)</f>
        <v>0/6</v>
      </c>
      <c r="J9" s="6" t="str">
        <f>COUNTIFS(Input!$B$1:$B$1500,J$17,Input!$C$1:$C$1500,$C9,Input!$D$1:$D$1500,"R")&amp;"/"&amp;COUNTIFS(Input!$B$1:$B$1500,J$17,Input!$C$1:$C$1500,$C9)</f>
        <v>0/1</v>
      </c>
      <c r="K9" s="6" t="str">
        <f>COUNTIFS(Input!$B$1:$B$1500,K$17,Input!$C$1:$C$1500,$C9,Input!$D$1:$D$1500,"R")&amp;"/"&amp;COUNTIFS(Input!$B$1:$B$1500,K$17,Input!$C$1:$C$1500,$C9)</f>
        <v>0/5</v>
      </c>
      <c r="L9" s="6" t="str">
        <f>COUNTIFS(Input!$B$1:$B$1500,L$17,Input!$C$1:$C$1500,$C9,Input!$D$1:$D$1500,"R")&amp;"/"&amp;COUNTIFS(Input!$B$1:$B$1500,L$17,Input!$C$1:$C$1500,$C9)</f>
        <v>0/10</v>
      </c>
      <c r="M9" s="6" t="str">
        <f>COUNTIFS(Input!$B$1:$B$1500,M$17,Input!$C$1:$C$1500,$C9,Input!$D$1:$D$1500,"R")&amp;"/"&amp;COUNTIFS(Input!$B$1:$B$1500,M$17,Input!$C$1:$C$1500,$C9)</f>
        <v>0/19</v>
      </c>
      <c r="N9" s="6" t="str">
        <f>COUNTIFS(Input!$B$1:$B$1500,N$17,Input!$C$1:$C$1500,$C9,Input!$D$1:$D$1500,"R")&amp;"/"&amp;COUNTIFS(Input!$B$1:$B$1500,N$17,Input!$C$1:$C$1500,$C9)</f>
        <v>0/11</v>
      </c>
      <c r="O9" s="6" t="str">
        <f>COUNTIFS(Input!$B$1:$B$1500,O$17,Input!$C$1:$C$1500,$C9,Input!$D$1:$D$1500,"R")&amp;"/"&amp;COUNTIFS(Input!$B$1:$B$1500,O$17,Input!$C$1:$C$1500,$C9)</f>
        <v>0/8</v>
      </c>
      <c r="P9" s="6" t="str">
        <f>COUNTIFS(Input!$B$1:$B$1500,P$17,Input!$C$1:$C$1500,$C9,Input!$D$1:$D$1500,"R")&amp;"/"&amp;COUNTIFS(Input!$B$1:$B$1500,P$17,Input!$C$1:$C$1500,$C9)</f>
        <v>0/5</v>
      </c>
      <c r="Q9" s="6" t="str">
        <f>COUNTIFS(Input!$B$1:$B$1500,Q$17,Input!$C$1:$C$1500,$C9,Input!$D$1:$D$1500,"R")&amp;"/"&amp;COUNTIFS(Input!$B$1:$B$1500,Q$17,Input!$C$1:$C$1500,$C9)</f>
        <v>0/5</v>
      </c>
      <c r="R9" s="6" t="str">
        <f>COUNTIFS(Input!$B$1:$B$1500,R$17,Input!$C$1:$C$1500,$C9,Input!$D$1:$D$1500,"R")&amp;"/"&amp;COUNTIFS(Input!$B$1:$B$1500,R$17,Input!$C$1:$C$1500,$C9)</f>
        <v>0/3</v>
      </c>
      <c r="S9" s="6" t="str">
        <f>COUNTIFS(Input!$B$1:$B$1500,S$17,Input!$C$1:$C$1500,$C9,Input!$D$1:$D$1500,"R")&amp;"/"&amp;COUNTIFS(Input!$B$1:$B$1500,S$17,Input!$C$1:$C$1500,$C9)</f>
        <v>0/3</v>
      </c>
      <c r="T9" s="6" t="str">
        <f>COUNTIFS(Input!$B$1:$B$1500,T$17,Input!$C$1:$C$1500,$C9,Input!$D$1:$D$1500,"R")&amp;"/"&amp;COUNTIFS(Input!$B$1:$B$1500,T$17,Input!$C$1:$C$1500,$C9)</f>
        <v>0/3</v>
      </c>
      <c r="U9" s="6" t="str">
        <f>COUNTIFS(Input!$B$1:$B$1500,U$17,Input!$C$1:$C$1500,$C9,Input!$D$1:$D$1500,"R")&amp;"/"&amp;COUNTIFS(Input!$B$1:$B$1500,U$17,Input!$C$1:$C$1500,$C9)</f>
        <v>0/8</v>
      </c>
      <c r="V9" s="6" t="str">
        <f>COUNTIFS(Input!$B$1:$B$1500,V$17,Input!$C$1:$C$1500,$C9,Input!$D$1:$D$1500,"R")&amp;"/"&amp;COUNTIFS(Input!$B$1:$B$1500,V$17,Input!$C$1:$C$1500,$C9)</f>
        <v>0/11</v>
      </c>
      <c r="W9" s="3" t="e">
        <f>COUNTIFS(Input!$B$1:$B$1500,D$17,Input!$C$1:$C$1500,$C9,Input!$D$1:$D$1500,"R")/COUNTIFS(Input!$B$1:$B$1500,D$17,Input!$C$1:$C$1500,$C9)</f>
        <v>#DIV/0!</v>
      </c>
      <c r="X9" s="3" t="e">
        <f>COUNTIFS(Input!$B$1:$B$1500,E$17,Input!$C$1:$C$1500,$C9,Input!$D$1:$D$1500,"R")/COUNTIFS(Input!$B$1:$B$1500,E$17,Input!$C$1:$C$1500,$C9)</f>
        <v>#DIV/0!</v>
      </c>
      <c r="Y9" s="3" t="e">
        <f>COUNTIFS(Input!$B$1:$B$1500,F$17,Input!$C$1:$C$1500,$C9,Input!$D$1:$D$1500,"R")/COUNTIFS(Input!$B$1:$B$1500,F$17,Input!$C$1:$C$1500,$C9)</f>
        <v>#DIV/0!</v>
      </c>
      <c r="Z9" s="3">
        <f>COUNTIFS(Input!$B$1:$B$1500,G$17,Input!$C$1:$C$1500,$C9,Input!$D$1:$D$1500,"R")/COUNTIFS(Input!$B$1:$B$1500,G$17,Input!$C$1:$C$1500,$C9)</f>
        <v>0</v>
      </c>
      <c r="AA9" s="3">
        <f>COUNTIFS(Input!$B$1:$B$1500,H$17,Input!$C$1:$C$1500,$C9,Input!$D$1:$D$1500,"R")/COUNTIFS(Input!$B$1:$B$1500,H$17,Input!$C$1:$C$1500,$C9)</f>
        <v>0</v>
      </c>
      <c r="AB9" s="3">
        <f>COUNTIFS(Input!$B$1:$B$1500,I$17,Input!$C$1:$C$1500,$C9,Input!$D$1:$D$1500,"R")/COUNTIFS(Input!$B$1:$B$1500,I$17,Input!$C$1:$C$1500,$C9)</f>
        <v>0</v>
      </c>
      <c r="AC9" s="3">
        <f>COUNTIFS(Input!$B$1:$B$1500,J$17,Input!$C$1:$C$1500,$C9,Input!$D$1:$D$1500,"R")/COUNTIFS(Input!$B$1:$B$1500,J$17,Input!$C$1:$C$1500,$C9)</f>
        <v>0</v>
      </c>
      <c r="AD9" s="3">
        <f>COUNTIFS(Input!$B$1:$B$1500,K$17,Input!$C$1:$C$1500,$C9,Input!$D$1:$D$1500,"R")/COUNTIFS(Input!$B$1:$B$1500,K$17,Input!$C$1:$C$1500,$C9)</f>
        <v>0</v>
      </c>
      <c r="AE9" s="3">
        <f>COUNTIFS(Input!$B$1:$B$1500,L$17,Input!$C$1:$C$1500,$C9,Input!$D$1:$D$1500,"R")/COUNTIFS(Input!$B$1:$B$1500,L$17,Input!$C$1:$C$1500,$C9)</f>
        <v>0</v>
      </c>
      <c r="AF9" s="3">
        <f>COUNTIFS(Input!$B$1:$B$1500,M$17,Input!$C$1:$C$1500,$C9,Input!$D$1:$D$1500,"R")/COUNTIFS(Input!$B$1:$B$1500,M$17,Input!$C$1:$C$1500,$C9)</f>
        <v>0</v>
      </c>
      <c r="AG9" s="3">
        <f>COUNTIFS(Input!$B$1:$B$1500,N$17,Input!$C$1:$C$1500,$C9,Input!$D$1:$D$1500,"R")/COUNTIFS(Input!$B$1:$B$1500,N$17,Input!$C$1:$C$1500,$C9)</f>
        <v>0</v>
      </c>
      <c r="AH9" s="3">
        <f>COUNTIFS(Input!$B$1:$B$1500,O$17,Input!$C$1:$C$1500,$C9,Input!$D$1:$D$1500,"R")/COUNTIFS(Input!$B$1:$B$1500,O$17,Input!$C$1:$C$1500,$C9)</f>
        <v>0</v>
      </c>
      <c r="AI9" s="3">
        <f>COUNTIFS(Input!$B$1:$B$1500,P$17,Input!$C$1:$C$1500,$C9,Input!$D$1:$D$1500,"R")/COUNTIFS(Input!$B$1:$B$1500,P$17,Input!$C$1:$C$1500,$C9)</f>
        <v>0</v>
      </c>
      <c r="AJ9" s="3">
        <f>COUNTIFS(Input!$B$1:$B$1500,Q$17,Input!$C$1:$C$1500,$C9,Input!$D$1:$D$1500,"R")/COUNTIFS(Input!$B$1:$B$1500,Q$17,Input!$C$1:$C$1500,$C9)</f>
        <v>0</v>
      </c>
      <c r="AK9" s="3">
        <f>COUNTIFS(Input!$B$1:$B$1500,R$17,Input!$C$1:$C$1500,$C9,Input!$D$1:$D$1500,"R")/COUNTIFS(Input!$B$1:$B$1500,R$17,Input!$C$1:$C$1500,$C9)</f>
        <v>0</v>
      </c>
      <c r="AL9" s="3">
        <f>COUNTIFS(Input!$B$1:$B$1500,S$17,Input!$C$1:$C$1500,$C9,Input!$D$1:$D$1500,"R")/COUNTIFS(Input!$B$1:$B$1500,S$17,Input!$C$1:$C$1500,$C9)</f>
        <v>0</v>
      </c>
      <c r="AM9" s="3">
        <f>COUNTIFS(Input!$B$1:$B$1500,T$17,Input!$C$1:$C$1500,$C9,Input!$D$1:$D$1500,"R")/COUNTIFS(Input!$B$1:$B$1500,T$17,Input!$C$1:$C$1500,$C9)</f>
        <v>0</v>
      </c>
      <c r="AN9" s="3">
        <f>COUNTIFS(Input!$B$1:$B$1500,U$17,Input!$C$1:$C$1500,$C9,Input!$D$1:$D$1500,"R")/COUNTIFS(Input!$B$1:$B$1500,U$17,Input!$C$1:$C$1500,$C9)</f>
        <v>0</v>
      </c>
      <c r="AO9" s="3">
        <f>COUNTIFS(Input!$B$1:$B$1500,V$17,Input!$C$1:$C$1500,$C9,Input!$D$1:$D$1500,"R")/COUNTIFS(Input!$B$1:$B$1500,V$17,Input!$C$1:$C$1500,$C9)</f>
        <v>0</v>
      </c>
    </row>
    <row r="10" spans="1:43" s="2" customFormat="1" ht="22" customHeight="1">
      <c r="C10" s="5" t="s">
        <v>637</v>
      </c>
      <c r="D10" s="6"/>
      <c r="E10" s="6"/>
      <c r="F10" s="6"/>
      <c r="G10" s="6" t="str">
        <f>COUNTIFS(Input!$B$1:$B$1500,G$17,Input!$C$1:$C$1500,$C10,Input!$D$1:$D$1500,"R")&amp;"/"&amp;COUNTIFS(Input!$B$1:$B$1500,G$17,Input!$C$1:$C$1500,$C10)</f>
        <v>0/9</v>
      </c>
      <c r="H10" s="6" t="str">
        <f>COUNTIFS(Input!$B$1:$B$1500,H$17,Input!$C$1:$C$1500,$C10,Input!$D$1:$D$1500,"R")&amp;"/"&amp;COUNTIFS(Input!$B$1:$B$1500,H$17,Input!$C$1:$C$1500,$C10)</f>
        <v>0/3</v>
      </c>
      <c r="I10" s="6" t="str">
        <f>COUNTIFS(Input!$B$1:$B$1500,I$17,Input!$C$1:$C$1500,$C10,Input!$D$1:$D$1500,"R")&amp;"/"&amp;COUNTIFS(Input!$B$1:$B$1500,I$17,Input!$C$1:$C$1500,$C10)</f>
        <v>0/4</v>
      </c>
      <c r="J10" s="6" t="str">
        <f>COUNTIFS(Input!$B$1:$B$1500,J$17,Input!$C$1:$C$1500,$C10,Input!$D$1:$D$1500,"R")&amp;"/"&amp;COUNTIFS(Input!$B$1:$B$1500,J$17,Input!$C$1:$C$1500,$C10)</f>
        <v>0/2</v>
      </c>
      <c r="K10" s="6" t="str">
        <f>COUNTIFS(Input!$B$1:$B$1500,K$17,Input!$C$1:$C$1500,$C10,Input!$D$1:$D$1500,"R")&amp;"/"&amp;COUNTIFS(Input!$B$1:$B$1500,K$17,Input!$C$1:$C$1500,$C10)</f>
        <v>0/4</v>
      </c>
      <c r="L10" s="6" t="str">
        <f>COUNTIFS(Input!$B$1:$B$1500,L$17,Input!$C$1:$C$1500,$C10,Input!$D$1:$D$1500,"R")&amp;"/"&amp;COUNTIFS(Input!$B$1:$B$1500,L$17,Input!$C$1:$C$1500,$C10)</f>
        <v>0/11</v>
      </c>
      <c r="M10" s="6" t="str">
        <f>COUNTIFS(Input!$B$1:$B$1500,M$17,Input!$C$1:$C$1500,$C10,Input!$D$1:$D$1500,"R")&amp;"/"&amp;COUNTIFS(Input!$B$1:$B$1500,M$17,Input!$C$1:$C$1500,$C10)</f>
        <v>0/9</v>
      </c>
      <c r="N10" s="6" t="str">
        <f>COUNTIFS(Input!$B$1:$B$1500,N$17,Input!$C$1:$C$1500,$C10,Input!$D$1:$D$1500,"R")&amp;"/"&amp;COUNTIFS(Input!$B$1:$B$1500,N$17,Input!$C$1:$C$1500,$C10)</f>
        <v>0/4</v>
      </c>
      <c r="O10" s="6" t="str">
        <f>COUNTIFS(Input!$B$1:$B$1500,O$17,Input!$C$1:$C$1500,$C10,Input!$D$1:$D$1500,"R")&amp;"/"&amp;COUNTIFS(Input!$B$1:$B$1500,O$17,Input!$C$1:$C$1500,$C10)</f>
        <v>0/5</v>
      </c>
      <c r="P10" s="6" t="str">
        <f>COUNTIFS(Input!$B$1:$B$1500,P$17,Input!$C$1:$C$1500,$C10,Input!$D$1:$D$1500,"R")&amp;"/"&amp;COUNTIFS(Input!$B$1:$B$1500,P$17,Input!$C$1:$C$1500,$C10)</f>
        <v>0/4</v>
      </c>
      <c r="Q10" s="6" t="str">
        <f>COUNTIFS(Input!$B$1:$B$1500,Q$17,Input!$C$1:$C$1500,$C10,Input!$D$1:$D$1500,"R")&amp;"/"&amp;COUNTIFS(Input!$B$1:$B$1500,Q$17,Input!$C$1:$C$1500,$C10)</f>
        <v>0/2</v>
      </c>
      <c r="R10" s="6" t="str">
        <f>COUNTIFS(Input!$B$1:$B$1500,R$17,Input!$C$1:$C$1500,$C10,Input!$D$1:$D$1500,"R")&amp;"/"&amp;COUNTIFS(Input!$B$1:$B$1500,R$17,Input!$C$1:$C$1500,$C10)</f>
        <v>0/3</v>
      </c>
      <c r="S10" s="6" t="str">
        <f>COUNTIFS(Input!$B$1:$B$1500,S$17,Input!$C$1:$C$1500,$C10,Input!$D$1:$D$1500,"R")&amp;"/"&amp;COUNTIFS(Input!$B$1:$B$1500,S$17,Input!$C$1:$C$1500,$C10)</f>
        <v>0/2</v>
      </c>
      <c r="T10" s="6" t="str">
        <f>COUNTIFS(Input!$B$1:$B$1500,T$17,Input!$C$1:$C$1500,$C10,Input!$D$1:$D$1500,"R")&amp;"/"&amp;COUNTIFS(Input!$B$1:$B$1500,T$17,Input!$C$1:$C$1500,$C10)</f>
        <v>0/8</v>
      </c>
      <c r="U10" s="6" t="str">
        <f>COUNTIFS(Input!$B$1:$B$1500,U$17,Input!$C$1:$C$1500,$C10,Input!$D$1:$D$1500,"R")&amp;"/"&amp;COUNTIFS(Input!$B$1:$B$1500,U$17,Input!$C$1:$C$1500,$C10)</f>
        <v>0/10</v>
      </c>
      <c r="V10" s="6" t="str">
        <f>COUNTIFS(Input!$B$1:$B$1500,V$17,Input!$C$1:$C$1500,$C10,Input!$D$1:$D$1500,"R")&amp;"/"&amp;COUNTIFS(Input!$B$1:$B$1500,V$17,Input!$C$1:$C$1500,$C10)</f>
        <v>0/9</v>
      </c>
      <c r="W10" s="3" t="e">
        <f>COUNTIFS(Input!$B$1:$B$1500,D$17,Input!$C$1:$C$1500,$C10,Input!$D$1:$D$1500,"R")/COUNTIFS(Input!$B$1:$B$1500,D$17,Input!$C$1:$C$1500,$C10)</f>
        <v>#DIV/0!</v>
      </c>
      <c r="X10" s="3" t="e">
        <f>COUNTIFS(Input!$B$1:$B$1500,E$17,Input!$C$1:$C$1500,$C10,Input!$D$1:$D$1500,"R")/COUNTIFS(Input!$B$1:$B$1500,E$17,Input!$C$1:$C$1500,$C10)</f>
        <v>#DIV/0!</v>
      </c>
      <c r="Y10" s="3" t="e">
        <f>COUNTIFS(Input!$B$1:$B$1500,F$17,Input!$C$1:$C$1500,$C10,Input!$D$1:$D$1500,"R")/COUNTIFS(Input!$B$1:$B$1500,F$17,Input!$C$1:$C$1500,$C10)</f>
        <v>#DIV/0!</v>
      </c>
      <c r="Z10" s="3">
        <f>COUNTIFS(Input!$B$1:$B$1500,G$17,Input!$C$1:$C$1500,$C10,Input!$D$1:$D$1500,"R")/COUNTIFS(Input!$B$1:$B$1500,G$17,Input!$C$1:$C$1500,$C10)</f>
        <v>0</v>
      </c>
      <c r="AA10" s="3">
        <f>COUNTIFS(Input!$B$1:$B$1500,H$17,Input!$C$1:$C$1500,$C10,Input!$D$1:$D$1500,"R")/COUNTIFS(Input!$B$1:$B$1500,H$17,Input!$C$1:$C$1500,$C10)</f>
        <v>0</v>
      </c>
      <c r="AB10" s="3">
        <f>COUNTIFS(Input!$B$1:$B$1500,I$17,Input!$C$1:$C$1500,$C10,Input!$D$1:$D$1500,"R")/COUNTIFS(Input!$B$1:$B$1500,I$17,Input!$C$1:$C$1500,$C10)</f>
        <v>0</v>
      </c>
      <c r="AC10" s="3">
        <f>COUNTIFS(Input!$B$1:$B$1500,J$17,Input!$C$1:$C$1500,$C10,Input!$D$1:$D$1500,"R")/COUNTIFS(Input!$B$1:$B$1500,J$17,Input!$C$1:$C$1500,$C10)</f>
        <v>0</v>
      </c>
      <c r="AD10" s="3">
        <f>COUNTIFS(Input!$B$1:$B$1500,K$17,Input!$C$1:$C$1500,$C10,Input!$D$1:$D$1500,"R")/COUNTIFS(Input!$B$1:$B$1500,K$17,Input!$C$1:$C$1500,$C10)</f>
        <v>0</v>
      </c>
      <c r="AE10" s="3">
        <f>COUNTIFS(Input!$B$1:$B$1500,L$17,Input!$C$1:$C$1500,$C10,Input!$D$1:$D$1500,"R")/COUNTIFS(Input!$B$1:$B$1500,L$17,Input!$C$1:$C$1500,$C10)</f>
        <v>0</v>
      </c>
      <c r="AF10" s="3">
        <f>COUNTIFS(Input!$B$1:$B$1500,M$17,Input!$C$1:$C$1500,$C10,Input!$D$1:$D$1500,"R")/COUNTIFS(Input!$B$1:$B$1500,M$17,Input!$C$1:$C$1500,$C10)</f>
        <v>0</v>
      </c>
      <c r="AG10" s="3">
        <f>COUNTIFS(Input!$B$1:$B$1500,N$17,Input!$C$1:$C$1500,$C10,Input!$D$1:$D$1500,"R")/COUNTIFS(Input!$B$1:$B$1500,N$17,Input!$C$1:$C$1500,$C10)</f>
        <v>0</v>
      </c>
      <c r="AH10" s="3">
        <f>COUNTIFS(Input!$B$1:$B$1500,O$17,Input!$C$1:$C$1500,$C10,Input!$D$1:$D$1500,"R")/COUNTIFS(Input!$B$1:$B$1500,O$17,Input!$C$1:$C$1500,$C10)</f>
        <v>0</v>
      </c>
      <c r="AI10" s="3">
        <f>COUNTIFS(Input!$B$1:$B$1500,P$17,Input!$C$1:$C$1500,$C10,Input!$D$1:$D$1500,"R")/COUNTIFS(Input!$B$1:$B$1500,P$17,Input!$C$1:$C$1500,$C10)</f>
        <v>0</v>
      </c>
      <c r="AJ10" s="3">
        <f>COUNTIFS(Input!$B$1:$B$1500,Q$17,Input!$C$1:$C$1500,$C10,Input!$D$1:$D$1500,"R")/COUNTIFS(Input!$B$1:$B$1500,Q$17,Input!$C$1:$C$1500,$C10)</f>
        <v>0</v>
      </c>
      <c r="AK10" s="3">
        <f>COUNTIFS(Input!$B$1:$B$1500,R$17,Input!$C$1:$C$1500,$C10,Input!$D$1:$D$1500,"R")/COUNTIFS(Input!$B$1:$B$1500,R$17,Input!$C$1:$C$1500,$C10)</f>
        <v>0</v>
      </c>
      <c r="AL10" s="3">
        <f>COUNTIFS(Input!$B$1:$B$1500,S$17,Input!$C$1:$C$1500,$C10,Input!$D$1:$D$1500,"R")/COUNTIFS(Input!$B$1:$B$1500,S$17,Input!$C$1:$C$1500,$C10)</f>
        <v>0</v>
      </c>
      <c r="AM10" s="3">
        <f>COUNTIFS(Input!$B$1:$B$1500,T$17,Input!$C$1:$C$1500,$C10,Input!$D$1:$D$1500,"R")/COUNTIFS(Input!$B$1:$B$1500,T$17,Input!$C$1:$C$1500,$C10)</f>
        <v>0</v>
      </c>
      <c r="AN10" s="3">
        <f>COUNTIFS(Input!$B$1:$B$1500,U$17,Input!$C$1:$C$1500,$C10,Input!$D$1:$D$1500,"R")/COUNTIFS(Input!$B$1:$B$1500,U$17,Input!$C$1:$C$1500,$C10)</f>
        <v>0</v>
      </c>
      <c r="AO10" s="3">
        <f>COUNTIFS(Input!$B$1:$B$1500,V$17,Input!$C$1:$C$1500,$C10,Input!$D$1:$D$1500,"R")/COUNTIFS(Input!$B$1:$B$1500,V$17,Input!$C$1:$C$1500,$C10)</f>
        <v>0</v>
      </c>
    </row>
    <row r="11" spans="1:43" s="2" customFormat="1" ht="22" customHeight="1">
      <c r="C11" s="5" t="s">
        <v>487</v>
      </c>
      <c r="D11" s="6" t="str">
        <f>COUNTIFS(Input!$B$1:$B$1500,D$17,Input!$C$1:$C$1500,$C11,Input!$D$1:$D$1500,"R")&amp;"/"&amp;COUNTIFS(Input!$B$1:$B$1500,D$17,Input!$C$1:$C$1500,$C11)</f>
        <v>0/6</v>
      </c>
      <c r="E11" s="6" t="str">
        <f>COUNTIFS(Input!$B$1:$B$1500,E$17,Input!$C$1:$C$1500,$C11,Input!$D$1:$D$1500,"R")&amp;"/"&amp;COUNTIFS(Input!$B$1:$B$1500,E$17,Input!$C$1:$C$1500,$C11)</f>
        <v>0/5</v>
      </c>
      <c r="F11" s="6" t="str">
        <f>COUNTIFS(Input!$B$1:$B$1500,F$17,Input!$C$1:$C$1500,$C11,Input!$D$1:$D$1500,"R")&amp;"/"&amp;COUNTIFS(Input!$B$1:$B$1500,F$17,Input!$C$1:$C$1500,$C11)</f>
        <v>0/4</v>
      </c>
      <c r="G11" s="6" t="str">
        <f>COUNTIFS(Input!$B$1:$B$1500,G$17,Input!$C$1:$C$1500,$C11,Input!$D$1:$D$1500,"R")&amp;"/"&amp;COUNTIFS(Input!$B$1:$B$1500,G$17,Input!$C$1:$C$1500,$C11)</f>
        <v>0/12</v>
      </c>
      <c r="H11" s="6" t="str">
        <f>COUNTIFS(Input!$B$1:$B$1500,H$17,Input!$C$1:$C$1500,$C11,Input!$D$1:$D$1500,"R")&amp;"/"&amp;COUNTIFS(Input!$B$1:$B$1500,H$17,Input!$C$1:$C$1500,$C11)</f>
        <v>0/8</v>
      </c>
      <c r="I11" s="6" t="str">
        <f>COUNTIFS(Input!$B$1:$B$1500,I$17,Input!$C$1:$C$1500,$C11,Input!$D$1:$D$1500,"R")&amp;"/"&amp;COUNTIFS(Input!$B$1:$B$1500,I$17,Input!$C$1:$C$1500,$C11)</f>
        <v>0/10</v>
      </c>
      <c r="J11" s="6" t="str">
        <f>COUNTIFS(Input!$B$1:$B$1500,J$17,Input!$C$1:$C$1500,$C11,Input!$D$1:$D$1500,"R")&amp;"/"&amp;COUNTIFS(Input!$B$1:$B$1500,J$17,Input!$C$1:$C$1500,$C11)</f>
        <v>0/5</v>
      </c>
      <c r="K11" s="6" t="str">
        <f>COUNTIFS(Input!$B$1:$B$1500,K$17,Input!$C$1:$C$1500,$C11,Input!$D$1:$D$1500,"R")&amp;"/"&amp;COUNTIFS(Input!$B$1:$B$1500,K$17,Input!$C$1:$C$1500,$C11)</f>
        <v>0/2</v>
      </c>
      <c r="L11" s="6" t="str">
        <f>COUNTIFS(Input!$B$1:$B$1500,L$17,Input!$C$1:$C$1500,$C11,Input!$D$1:$D$1500,"R")&amp;"/"&amp;COUNTIFS(Input!$B$1:$B$1500,L$17,Input!$C$1:$C$1500,$C11)</f>
        <v>0/6</v>
      </c>
      <c r="M11" s="6" t="str">
        <f>COUNTIFS(Input!$B$1:$B$1500,M$17,Input!$C$1:$C$1500,$C11,Input!$D$1:$D$1500,"R")&amp;"/"&amp;COUNTIFS(Input!$B$1:$B$1500,M$17,Input!$C$1:$C$1500,$C11)</f>
        <v>0/18</v>
      </c>
      <c r="N11" s="6" t="str">
        <f>COUNTIFS(Input!$B$1:$B$1500,N$17,Input!$C$1:$C$1500,$C11,Input!$D$1:$D$1500,"R")&amp;"/"&amp;COUNTIFS(Input!$B$1:$B$1500,N$17,Input!$C$1:$C$1500,$C11)</f>
        <v>0/6</v>
      </c>
      <c r="O11" s="6" t="str">
        <f>COUNTIFS(Input!$B$1:$B$1500,O$17,Input!$C$1:$C$1500,$C11,Input!$D$1:$D$1500,"R")&amp;"/"&amp;COUNTIFS(Input!$B$1:$B$1500,O$17,Input!$C$1:$C$1500,$C11)</f>
        <v>0/11</v>
      </c>
      <c r="P11" s="6" t="str">
        <f>COUNTIFS(Input!$B$1:$B$1500,P$17,Input!$C$1:$C$1500,$C11,Input!$D$1:$D$1500,"R")&amp;"/"&amp;COUNTIFS(Input!$B$1:$B$1500,P$17,Input!$C$1:$C$1500,$C11)</f>
        <v>0/4</v>
      </c>
      <c r="Q11" s="6" t="str">
        <f>COUNTIFS(Input!$B$1:$B$1500,Q$17,Input!$C$1:$C$1500,$C11,Input!$D$1:$D$1500,"R")&amp;"/"&amp;COUNTIFS(Input!$B$1:$B$1500,Q$17,Input!$C$1:$C$1500,$C11)</f>
        <v>0/4</v>
      </c>
      <c r="R11" s="6" t="str">
        <f>COUNTIFS(Input!$B$1:$B$1500,R$17,Input!$C$1:$C$1500,$C11,Input!$D$1:$D$1500,"R")&amp;"/"&amp;COUNTIFS(Input!$B$1:$B$1500,R$17,Input!$C$1:$C$1500,$C11)</f>
        <v>0/5</v>
      </c>
      <c r="S11" s="6" t="str">
        <f>COUNTIFS(Input!$B$1:$B$1500,S$17,Input!$C$1:$C$1500,$C11,Input!$D$1:$D$1500,"R")&amp;"/"&amp;COUNTIFS(Input!$B$1:$B$1500,S$17,Input!$C$1:$C$1500,$C11)</f>
        <v>0/4</v>
      </c>
      <c r="T11" s="6" t="str">
        <f>COUNTIFS(Input!$B$1:$B$1500,T$17,Input!$C$1:$C$1500,$C11,Input!$D$1:$D$1500,"R")&amp;"/"&amp;COUNTIFS(Input!$B$1:$B$1500,T$17,Input!$C$1:$C$1500,$C11)</f>
        <v>0/6</v>
      </c>
      <c r="U11" s="6" t="str">
        <f>COUNTIFS(Input!$B$1:$B$1500,U$17,Input!$C$1:$C$1500,$C11,Input!$D$1:$D$1500,"R")&amp;"/"&amp;COUNTIFS(Input!$B$1:$B$1500,U$17,Input!$C$1:$C$1500,$C11)</f>
        <v>0/8</v>
      </c>
      <c r="V11" s="6" t="str">
        <f>COUNTIFS(Input!$B$1:$B$1500,V$17,Input!$C$1:$C$1500,$C11,Input!$D$1:$D$1500,"R")&amp;"/"&amp;COUNTIFS(Input!$B$1:$B$1500,V$17,Input!$C$1:$C$1500,$C11)</f>
        <v>0/6</v>
      </c>
      <c r="W11" s="3">
        <f>COUNTIFS(Input!$B$1:$B$1500,D$17,Input!$C$1:$C$1500,$C11,Input!$D$1:$D$1500,"R")/COUNTIFS(Input!$B$1:$B$1500,D$17,Input!$C$1:$C$1500,$C11)</f>
        <v>0</v>
      </c>
      <c r="X11" s="3">
        <f>COUNTIFS(Input!$B$1:$B$1500,E$17,Input!$C$1:$C$1500,$C11,Input!$D$1:$D$1500,"R")/COUNTIFS(Input!$B$1:$B$1500,E$17,Input!$C$1:$C$1500,$C11)</f>
        <v>0</v>
      </c>
      <c r="Y11" s="3">
        <f>COUNTIFS(Input!$B$1:$B$1500,F$17,Input!$C$1:$C$1500,$C11,Input!$D$1:$D$1500,"R")/COUNTIFS(Input!$B$1:$B$1500,F$17,Input!$C$1:$C$1500,$C11)</f>
        <v>0</v>
      </c>
      <c r="Z11" s="3">
        <f>COUNTIFS(Input!$B$1:$B$1500,G$17,Input!$C$1:$C$1500,$C11,Input!$D$1:$D$1500,"R")/COUNTIFS(Input!$B$1:$B$1500,G$17,Input!$C$1:$C$1500,$C11)</f>
        <v>0</v>
      </c>
      <c r="AA11" s="3">
        <f>COUNTIFS(Input!$B$1:$B$1500,H$17,Input!$C$1:$C$1500,$C11,Input!$D$1:$D$1500,"R")/COUNTIFS(Input!$B$1:$B$1500,H$17,Input!$C$1:$C$1500,$C11)</f>
        <v>0</v>
      </c>
      <c r="AB11" s="3">
        <f>COUNTIFS(Input!$B$1:$B$1500,I$17,Input!$C$1:$C$1500,$C11,Input!$D$1:$D$1500,"R")/COUNTIFS(Input!$B$1:$B$1500,I$17,Input!$C$1:$C$1500,$C11)</f>
        <v>0</v>
      </c>
      <c r="AC11" s="3">
        <f>COUNTIFS(Input!$B$1:$B$1500,J$17,Input!$C$1:$C$1500,$C11,Input!$D$1:$D$1500,"R")/COUNTIFS(Input!$B$1:$B$1500,J$17,Input!$C$1:$C$1500,$C11)</f>
        <v>0</v>
      </c>
      <c r="AD11" s="3">
        <f>COUNTIFS(Input!$B$1:$B$1500,K$17,Input!$C$1:$C$1500,$C11,Input!$D$1:$D$1500,"R")/COUNTIFS(Input!$B$1:$B$1500,K$17,Input!$C$1:$C$1500,$C11)</f>
        <v>0</v>
      </c>
      <c r="AE11" s="3">
        <f>COUNTIFS(Input!$B$1:$B$1500,L$17,Input!$C$1:$C$1500,$C11,Input!$D$1:$D$1500,"R")/COUNTIFS(Input!$B$1:$B$1500,L$17,Input!$C$1:$C$1500,$C11)</f>
        <v>0</v>
      </c>
      <c r="AF11" s="3">
        <f>COUNTIFS(Input!$B$1:$B$1500,M$17,Input!$C$1:$C$1500,$C11,Input!$D$1:$D$1500,"R")/COUNTIFS(Input!$B$1:$B$1500,M$17,Input!$C$1:$C$1500,$C11)</f>
        <v>0</v>
      </c>
      <c r="AG11" s="3">
        <f>COUNTIFS(Input!$B$1:$B$1500,N$17,Input!$C$1:$C$1500,$C11,Input!$D$1:$D$1500,"R")/COUNTIFS(Input!$B$1:$B$1500,N$17,Input!$C$1:$C$1500,$C11)</f>
        <v>0</v>
      </c>
      <c r="AH11" s="3">
        <f>COUNTIFS(Input!$B$1:$B$1500,O$17,Input!$C$1:$C$1500,$C11,Input!$D$1:$D$1500,"R")/COUNTIFS(Input!$B$1:$B$1500,O$17,Input!$C$1:$C$1500,$C11)</f>
        <v>0</v>
      </c>
      <c r="AI11" s="3">
        <f>COUNTIFS(Input!$B$1:$B$1500,P$17,Input!$C$1:$C$1500,$C11,Input!$D$1:$D$1500,"R")/COUNTIFS(Input!$B$1:$B$1500,P$17,Input!$C$1:$C$1500,$C11)</f>
        <v>0</v>
      </c>
      <c r="AJ11" s="3">
        <f>COUNTIFS(Input!$B$1:$B$1500,Q$17,Input!$C$1:$C$1500,$C11,Input!$D$1:$D$1500,"R")/COUNTIFS(Input!$B$1:$B$1500,Q$17,Input!$C$1:$C$1500,$C11)</f>
        <v>0</v>
      </c>
      <c r="AK11" s="3">
        <f>COUNTIFS(Input!$B$1:$B$1500,R$17,Input!$C$1:$C$1500,$C11,Input!$D$1:$D$1500,"R")/COUNTIFS(Input!$B$1:$B$1500,R$17,Input!$C$1:$C$1500,$C11)</f>
        <v>0</v>
      </c>
      <c r="AL11" s="3">
        <f>COUNTIFS(Input!$B$1:$B$1500,S$17,Input!$C$1:$C$1500,$C11,Input!$D$1:$D$1500,"R")/COUNTIFS(Input!$B$1:$B$1500,S$17,Input!$C$1:$C$1500,$C11)</f>
        <v>0</v>
      </c>
      <c r="AM11" s="3">
        <f>COUNTIFS(Input!$B$1:$B$1500,T$17,Input!$C$1:$C$1500,$C11,Input!$D$1:$D$1500,"R")/COUNTIFS(Input!$B$1:$B$1500,T$17,Input!$C$1:$C$1500,$C11)</f>
        <v>0</v>
      </c>
      <c r="AN11" s="3">
        <f>COUNTIFS(Input!$B$1:$B$1500,U$17,Input!$C$1:$C$1500,$C11,Input!$D$1:$D$1500,"R")/COUNTIFS(Input!$B$1:$B$1500,U$17,Input!$C$1:$C$1500,$C11)</f>
        <v>0</v>
      </c>
      <c r="AO11" s="3">
        <f>COUNTIFS(Input!$B$1:$B$1500,V$17,Input!$C$1:$C$1500,$C11,Input!$D$1:$D$1500,"R")/COUNTIFS(Input!$B$1:$B$1500,V$17,Input!$C$1:$C$1500,$C11)</f>
        <v>0</v>
      </c>
    </row>
    <row r="12" spans="1:43" s="2" customFormat="1" ht="22" customHeight="1">
      <c r="C12" s="5" t="s">
        <v>326</v>
      </c>
      <c r="D12" s="6" t="str">
        <f>COUNTIFS(Input!$B$1:$B$1500,D$17,Input!$C$1:$C$1500,$C12,Input!$D$1:$D$1500,"R")&amp;"/"&amp;COUNTIFS(Input!$B$1:$B$1500,D$17,Input!$C$1:$C$1500,$C12)</f>
        <v>0/15</v>
      </c>
      <c r="E12" s="6" t="str">
        <f>COUNTIFS(Input!$B$1:$B$1500,E$17,Input!$C$1:$C$1500,$C12,Input!$D$1:$D$1500,"R")&amp;"/"&amp;COUNTIFS(Input!$B$1:$B$1500,E$17,Input!$C$1:$C$1500,$C12)</f>
        <v>0/9</v>
      </c>
      <c r="F12" s="6" t="str">
        <f>COUNTIFS(Input!$B$1:$B$1500,F$17,Input!$C$1:$C$1500,$C12,Input!$D$1:$D$1500,"R")&amp;"/"&amp;COUNTIFS(Input!$B$1:$B$1500,F$17,Input!$C$1:$C$1500,$C12)</f>
        <v>0/8</v>
      </c>
      <c r="G12" s="6" t="str">
        <f>COUNTIFS(Input!$B$1:$B$1500,G$17,Input!$C$1:$C$1500,$C12,Input!$D$1:$D$1500,"R")&amp;"/"&amp;COUNTIFS(Input!$B$1:$B$1500,G$17,Input!$C$1:$C$1500,$C12)</f>
        <v>0/15</v>
      </c>
      <c r="H12" s="6" t="str">
        <f>COUNTIFS(Input!$B$1:$B$1500,H$17,Input!$C$1:$C$1500,$C12,Input!$D$1:$D$1500,"R")&amp;"/"&amp;COUNTIFS(Input!$B$1:$B$1500,H$17,Input!$C$1:$C$1500,$C12)</f>
        <v>0/9</v>
      </c>
      <c r="I12" s="6" t="str">
        <f>COUNTIFS(Input!$B$1:$B$1500,I$17,Input!$C$1:$C$1500,$C12,Input!$D$1:$D$1500,"R")&amp;"/"&amp;COUNTIFS(Input!$B$1:$B$1500,I$17,Input!$C$1:$C$1500,$C12)</f>
        <v>0/10</v>
      </c>
      <c r="J12" s="6" t="str">
        <f>COUNTIFS(Input!$B$1:$B$1500,J$17,Input!$C$1:$C$1500,$C12,Input!$D$1:$D$1500,"R")&amp;"/"&amp;COUNTIFS(Input!$B$1:$B$1500,J$17,Input!$C$1:$C$1500,$C12)</f>
        <v>0/12</v>
      </c>
      <c r="K12" s="6" t="str">
        <f>COUNTIFS(Input!$B$1:$B$1500,K$17,Input!$C$1:$C$1500,$C12,Input!$D$1:$D$1500,"R")&amp;"/"&amp;COUNTIFS(Input!$B$1:$B$1500,K$17,Input!$C$1:$C$1500,$C12)</f>
        <v>0/1</v>
      </c>
      <c r="L12" s="6" t="str">
        <f>COUNTIFS(Input!$B$1:$B$1500,L$17,Input!$C$1:$C$1500,$C12,Input!$D$1:$D$1500,"R")&amp;"/"&amp;COUNTIFS(Input!$B$1:$B$1500,L$17,Input!$C$1:$C$1500,$C12)</f>
        <v>0/1</v>
      </c>
      <c r="M12" s="6" t="str">
        <f>COUNTIFS(Input!$B$1:$B$1500,M$17,Input!$C$1:$C$1500,$C12,Input!$D$1:$D$1500,"R")&amp;"/"&amp;COUNTIFS(Input!$B$1:$B$1500,M$17,Input!$C$1:$C$1500,$C12)</f>
        <v>0/8</v>
      </c>
      <c r="N12" s="6" t="str">
        <f>COUNTIFS(Input!$B$1:$B$1500,N$17,Input!$C$1:$C$1500,$C12,Input!$D$1:$D$1500,"R")&amp;"/"&amp;COUNTIFS(Input!$B$1:$B$1500,N$17,Input!$C$1:$C$1500,$C12)</f>
        <v>0/3</v>
      </c>
      <c r="O12" s="6" t="str">
        <f>COUNTIFS(Input!$B$1:$B$1500,O$17,Input!$C$1:$C$1500,$C12,Input!$D$1:$D$1500,"R")&amp;"/"&amp;COUNTIFS(Input!$B$1:$B$1500,O$17,Input!$C$1:$C$1500,$C12)</f>
        <v>0/4</v>
      </c>
      <c r="P12" s="6" t="str">
        <f>COUNTIFS(Input!$B$1:$B$1500,P$17,Input!$C$1:$C$1500,$C12,Input!$D$1:$D$1500,"R")&amp;"/"&amp;COUNTIFS(Input!$B$1:$B$1500,P$17,Input!$C$1:$C$1500,$C12)</f>
        <v>0/5</v>
      </c>
      <c r="Q12" s="6" t="str">
        <f>COUNTIFS(Input!$B$1:$B$1500,Q$17,Input!$C$1:$C$1500,$C12,Input!$D$1:$D$1500,"R")&amp;"/"&amp;COUNTIFS(Input!$B$1:$B$1500,Q$17,Input!$C$1:$C$1500,$C12)</f>
        <v>0/5</v>
      </c>
      <c r="R12" s="6" t="str">
        <f>COUNTIFS(Input!$B$1:$B$1500,R$17,Input!$C$1:$C$1500,$C12,Input!$D$1:$D$1500,"R")&amp;"/"&amp;COUNTIFS(Input!$B$1:$B$1500,R$17,Input!$C$1:$C$1500,$C12)</f>
        <v>0/8</v>
      </c>
      <c r="S12" s="6" t="str">
        <f>COUNTIFS(Input!$B$1:$B$1500,S$17,Input!$C$1:$C$1500,$C12,Input!$D$1:$D$1500,"R")&amp;"/"&amp;COUNTIFS(Input!$B$1:$B$1500,S$17,Input!$C$1:$C$1500,$C12)</f>
        <v>0/3</v>
      </c>
      <c r="T12" s="6" t="str">
        <f>COUNTIFS(Input!$B$1:$B$1500,T$17,Input!$C$1:$C$1500,$C12,Input!$D$1:$D$1500,"R")&amp;"/"&amp;COUNTIFS(Input!$B$1:$B$1500,T$17,Input!$C$1:$C$1500,$C12)</f>
        <v>0/4</v>
      </c>
      <c r="U12" s="6" t="str">
        <f>COUNTIFS(Input!$B$1:$B$1500,U$17,Input!$C$1:$C$1500,$C12,Input!$D$1:$D$1500,"R")&amp;"/"&amp;COUNTIFS(Input!$B$1:$B$1500,U$17,Input!$C$1:$C$1500,$C12)</f>
        <v>0/9</v>
      </c>
      <c r="V12" s="6" t="str">
        <f>COUNTIFS(Input!$B$1:$B$1500,V$17,Input!$C$1:$C$1500,$C12,Input!$D$1:$D$1500,"R")&amp;"/"&amp;COUNTIFS(Input!$B$1:$B$1500,V$17,Input!$C$1:$C$1500,$C12)</f>
        <v>0/6</v>
      </c>
      <c r="W12" s="3">
        <f>COUNTIFS(Input!$B$1:$B$1500,D$17,Input!$C$1:$C$1500,$C12,Input!$D$1:$D$1500,"R")/COUNTIFS(Input!$B$1:$B$1500,D$17,Input!$C$1:$C$1500,$C12)</f>
        <v>0</v>
      </c>
      <c r="X12" s="3">
        <f>COUNTIFS(Input!$B$1:$B$1500,E$17,Input!$C$1:$C$1500,$C12,Input!$D$1:$D$1500,"R")/COUNTIFS(Input!$B$1:$B$1500,E$17,Input!$C$1:$C$1500,$C12)</f>
        <v>0</v>
      </c>
      <c r="Y12" s="3">
        <f>COUNTIFS(Input!$B$1:$B$1500,F$17,Input!$C$1:$C$1500,$C12,Input!$D$1:$D$1500,"R")/COUNTIFS(Input!$B$1:$B$1500,F$17,Input!$C$1:$C$1500,$C12)</f>
        <v>0</v>
      </c>
      <c r="Z12" s="3">
        <f>COUNTIFS(Input!$B$1:$B$1500,G$17,Input!$C$1:$C$1500,$C12,Input!$D$1:$D$1500,"R")/COUNTIFS(Input!$B$1:$B$1500,G$17,Input!$C$1:$C$1500,$C12)</f>
        <v>0</v>
      </c>
      <c r="AA12" s="3">
        <f>COUNTIFS(Input!$B$1:$B$1500,H$17,Input!$C$1:$C$1500,$C12,Input!$D$1:$D$1500,"R")/COUNTIFS(Input!$B$1:$B$1500,H$17,Input!$C$1:$C$1500,$C12)</f>
        <v>0</v>
      </c>
      <c r="AB12" s="3">
        <f>COUNTIFS(Input!$B$1:$B$1500,I$17,Input!$C$1:$C$1500,$C12,Input!$D$1:$D$1500,"R")/COUNTIFS(Input!$B$1:$B$1500,I$17,Input!$C$1:$C$1500,$C12)</f>
        <v>0</v>
      </c>
      <c r="AC12" s="3">
        <f>COUNTIFS(Input!$B$1:$B$1500,J$17,Input!$C$1:$C$1500,$C12,Input!$D$1:$D$1500,"R")/COUNTIFS(Input!$B$1:$B$1500,J$17,Input!$C$1:$C$1500,$C12)</f>
        <v>0</v>
      </c>
      <c r="AD12" s="3">
        <f>COUNTIFS(Input!$B$1:$B$1500,K$17,Input!$C$1:$C$1500,$C12,Input!$D$1:$D$1500,"R")/COUNTIFS(Input!$B$1:$B$1500,K$17,Input!$C$1:$C$1500,$C12)</f>
        <v>0</v>
      </c>
      <c r="AE12" s="3">
        <f>COUNTIFS(Input!$B$1:$B$1500,L$17,Input!$C$1:$C$1500,$C12,Input!$D$1:$D$1500,"R")/COUNTIFS(Input!$B$1:$B$1500,L$17,Input!$C$1:$C$1500,$C12)</f>
        <v>0</v>
      </c>
      <c r="AF12" s="3">
        <f>COUNTIFS(Input!$B$1:$B$1500,M$17,Input!$C$1:$C$1500,$C12,Input!$D$1:$D$1500,"R")/COUNTIFS(Input!$B$1:$B$1500,M$17,Input!$C$1:$C$1500,$C12)</f>
        <v>0</v>
      </c>
      <c r="AG12" s="3">
        <f>COUNTIFS(Input!$B$1:$B$1500,N$17,Input!$C$1:$C$1500,$C12,Input!$D$1:$D$1500,"R")/COUNTIFS(Input!$B$1:$B$1500,N$17,Input!$C$1:$C$1500,$C12)</f>
        <v>0</v>
      </c>
      <c r="AH12" s="3">
        <f>COUNTIFS(Input!$B$1:$B$1500,O$17,Input!$C$1:$C$1500,$C12,Input!$D$1:$D$1500,"R")/COUNTIFS(Input!$B$1:$B$1500,O$17,Input!$C$1:$C$1500,$C12)</f>
        <v>0</v>
      </c>
      <c r="AI12" s="3">
        <f>COUNTIFS(Input!$B$1:$B$1500,P$17,Input!$C$1:$C$1500,$C12,Input!$D$1:$D$1500,"R")/COUNTIFS(Input!$B$1:$B$1500,P$17,Input!$C$1:$C$1500,$C12)</f>
        <v>0</v>
      </c>
      <c r="AJ12" s="3">
        <f>COUNTIFS(Input!$B$1:$B$1500,Q$17,Input!$C$1:$C$1500,$C12,Input!$D$1:$D$1500,"R")/COUNTIFS(Input!$B$1:$B$1500,Q$17,Input!$C$1:$C$1500,$C12)</f>
        <v>0</v>
      </c>
      <c r="AK12" s="3">
        <f>COUNTIFS(Input!$B$1:$B$1500,R$17,Input!$C$1:$C$1500,$C12,Input!$D$1:$D$1500,"R")/COUNTIFS(Input!$B$1:$B$1500,R$17,Input!$C$1:$C$1500,$C12)</f>
        <v>0</v>
      </c>
      <c r="AL12" s="3">
        <f>COUNTIFS(Input!$B$1:$B$1500,S$17,Input!$C$1:$C$1500,$C12,Input!$D$1:$D$1500,"R")/COUNTIFS(Input!$B$1:$B$1500,S$17,Input!$C$1:$C$1500,$C12)</f>
        <v>0</v>
      </c>
      <c r="AM12" s="3">
        <f>COUNTIFS(Input!$B$1:$B$1500,T$17,Input!$C$1:$C$1500,$C12,Input!$D$1:$D$1500,"R")/COUNTIFS(Input!$B$1:$B$1500,T$17,Input!$C$1:$C$1500,$C12)</f>
        <v>0</v>
      </c>
      <c r="AN12" s="3">
        <f>COUNTIFS(Input!$B$1:$B$1500,U$17,Input!$C$1:$C$1500,$C12,Input!$D$1:$D$1500,"R")/COUNTIFS(Input!$B$1:$B$1500,U$17,Input!$C$1:$C$1500,$C12)</f>
        <v>0</v>
      </c>
      <c r="AO12" s="3">
        <f>COUNTIFS(Input!$B$1:$B$1500,V$17,Input!$C$1:$C$1500,$C12,Input!$D$1:$D$1500,"R")/COUNTIFS(Input!$B$1:$B$1500,V$17,Input!$C$1:$C$1500,$C12)</f>
        <v>0</v>
      </c>
    </row>
    <row r="13" spans="1:43" s="2" customFormat="1" ht="22" customHeight="1">
      <c r="C13" s="5" t="s">
        <v>171</v>
      </c>
      <c r="D13" s="6" t="str">
        <f>COUNTIFS(Input!$B$1:$B$1500,D$17,Input!$C$1:$C$1500,$C13,Input!$D$1:$D$1500,"R")&amp;"/"&amp;COUNTIFS(Input!$B$1:$B$1500,D$17,Input!$C$1:$C$1500,$C13)</f>
        <v>0/8</v>
      </c>
      <c r="E13" s="6" t="str">
        <f>COUNTIFS(Input!$B$1:$B$1500,E$17,Input!$C$1:$C$1500,$C13,Input!$D$1:$D$1500,"R")&amp;"/"&amp;COUNTIFS(Input!$B$1:$B$1500,E$17,Input!$C$1:$C$1500,$C13)</f>
        <v>0/8</v>
      </c>
      <c r="F13" s="6" t="str">
        <f>COUNTIFS(Input!$B$1:$B$1500,F$17,Input!$C$1:$C$1500,$C13,Input!$D$1:$D$1500,"R")&amp;"/"&amp;COUNTIFS(Input!$B$1:$B$1500,F$17,Input!$C$1:$C$1500,$C13)</f>
        <v>0/10</v>
      </c>
      <c r="G13" s="6" t="str">
        <f>COUNTIFS(Input!$B$1:$B$1500,G$17,Input!$C$1:$C$1500,$C13,Input!$D$1:$D$1500,"R")&amp;"/"&amp;COUNTIFS(Input!$B$1:$B$1500,G$17,Input!$C$1:$C$1500,$C13)</f>
        <v>0/13</v>
      </c>
      <c r="H13" s="6" t="str">
        <f>COUNTIFS(Input!$B$1:$B$1500,H$17,Input!$C$1:$C$1500,$C13,Input!$D$1:$D$1500,"R")&amp;"/"&amp;COUNTIFS(Input!$B$1:$B$1500,H$17,Input!$C$1:$C$1500,$C13)</f>
        <v>0/6</v>
      </c>
      <c r="I13" s="6" t="str">
        <f>COUNTIFS(Input!$B$1:$B$1500,I$17,Input!$C$1:$C$1500,$C13,Input!$D$1:$D$1500,"R")&amp;"/"&amp;COUNTIFS(Input!$B$1:$B$1500,I$17,Input!$C$1:$C$1500,$C13)</f>
        <v>0/6</v>
      </c>
      <c r="J13" s="6" t="str">
        <f>COUNTIFS(Input!$B$1:$B$1500,J$17,Input!$C$1:$C$1500,$C13,Input!$D$1:$D$1500,"R")&amp;"/"&amp;COUNTIFS(Input!$B$1:$B$1500,J$17,Input!$C$1:$C$1500,$C13)</f>
        <v>0/7</v>
      </c>
      <c r="K13" s="6" t="str">
        <f>COUNTIFS(Input!$B$1:$B$1500,K$17,Input!$C$1:$C$1500,$C13,Input!$D$1:$D$1500,"R")&amp;"/"&amp;COUNTIFS(Input!$B$1:$B$1500,K$17,Input!$C$1:$C$1500,$C13)</f>
        <v>0/0</v>
      </c>
      <c r="L13" s="6" t="str">
        <f>COUNTIFS(Input!$B$1:$B$1500,L$17,Input!$C$1:$C$1500,$C13,Input!$D$1:$D$1500,"R")&amp;"/"&amp;COUNTIFS(Input!$B$1:$B$1500,L$17,Input!$C$1:$C$1500,$C13)</f>
        <v>0/3</v>
      </c>
      <c r="M13" s="6" t="str">
        <f>COUNTIFS(Input!$B$1:$B$1500,M$17,Input!$C$1:$C$1500,$C13,Input!$D$1:$D$1500,"R")&amp;"/"&amp;COUNTIFS(Input!$B$1:$B$1500,M$17,Input!$C$1:$C$1500,$C13)</f>
        <v>0/24</v>
      </c>
      <c r="N13" s="6" t="str">
        <f>COUNTIFS(Input!$B$1:$B$1500,N$17,Input!$C$1:$C$1500,$C13,Input!$D$1:$D$1500,"R")&amp;"/"&amp;COUNTIFS(Input!$B$1:$B$1500,N$17,Input!$C$1:$C$1500,$C13)</f>
        <v>0/4</v>
      </c>
      <c r="O13" s="6" t="str">
        <f>COUNTIFS(Input!$B$1:$B$1500,O$17,Input!$C$1:$C$1500,$C13,Input!$D$1:$D$1500,"R")&amp;"/"&amp;COUNTIFS(Input!$B$1:$B$1500,O$17,Input!$C$1:$C$1500,$C13)</f>
        <v>0/8</v>
      </c>
      <c r="P13" s="6" t="str">
        <f>COUNTIFS(Input!$B$1:$B$1500,P$17,Input!$C$1:$C$1500,$C13,Input!$D$1:$D$1500,"R")&amp;"/"&amp;COUNTIFS(Input!$B$1:$B$1500,P$17,Input!$C$1:$C$1500,$C13)</f>
        <v>0/5</v>
      </c>
      <c r="Q13" s="6" t="str">
        <f>COUNTIFS(Input!$B$1:$B$1500,Q$17,Input!$C$1:$C$1500,$C13,Input!$D$1:$D$1500,"R")&amp;"/"&amp;COUNTIFS(Input!$B$1:$B$1500,Q$17,Input!$C$1:$C$1500,$C13)</f>
        <v>0/4</v>
      </c>
      <c r="R13" s="6" t="str">
        <f>COUNTIFS(Input!$B$1:$B$1500,R$17,Input!$C$1:$C$1500,$C13,Input!$D$1:$D$1500,"R")&amp;"/"&amp;COUNTIFS(Input!$B$1:$B$1500,R$17,Input!$C$1:$C$1500,$C13)</f>
        <v>0/1</v>
      </c>
      <c r="S13" s="6" t="str">
        <f>COUNTIFS(Input!$B$1:$B$1500,S$17,Input!$C$1:$C$1500,$C13,Input!$D$1:$D$1500,"R")&amp;"/"&amp;COUNTIFS(Input!$B$1:$B$1500,S$17,Input!$C$1:$C$1500,$C13)</f>
        <v>0/4</v>
      </c>
      <c r="T13" s="6" t="str">
        <f>COUNTIFS(Input!$B$1:$B$1500,T$17,Input!$C$1:$C$1500,$C13,Input!$D$1:$D$1500,"R")&amp;"/"&amp;COUNTIFS(Input!$B$1:$B$1500,T$17,Input!$C$1:$C$1500,$C13)</f>
        <v>0/5</v>
      </c>
      <c r="U13" s="6" t="str">
        <f>COUNTIFS(Input!$B$1:$B$1500,U$17,Input!$C$1:$C$1500,$C13,Input!$D$1:$D$1500,"R")&amp;"/"&amp;COUNTIFS(Input!$B$1:$B$1500,U$17,Input!$C$1:$C$1500,$C13)</f>
        <v>0/6</v>
      </c>
      <c r="V13" s="6" t="str">
        <f>COUNTIFS(Input!$B$1:$B$1500,V$17,Input!$C$1:$C$1500,$C13,Input!$D$1:$D$1500,"R")&amp;"/"&amp;COUNTIFS(Input!$B$1:$B$1500,V$17,Input!$C$1:$C$1500,$C13)</f>
        <v>0/8</v>
      </c>
      <c r="W13" s="3">
        <f>COUNTIFS(Input!$B$1:$B$1500,D$17,Input!$C$1:$C$1500,$C13,Input!$D$1:$D$1500,"R")/COUNTIFS(Input!$B$1:$B$1500,D$17,Input!$C$1:$C$1500,$C13)</f>
        <v>0</v>
      </c>
      <c r="X13" s="3">
        <f>COUNTIFS(Input!$B$1:$B$1500,E$17,Input!$C$1:$C$1500,$C13,Input!$D$1:$D$1500,"R")/COUNTIFS(Input!$B$1:$B$1500,E$17,Input!$C$1:$C$1500,$C13)</f>
        <v>0</v>
      </c>
      <c r="Y13" s="3">
        <f>COUNTIFS(Input!$B$1:$B$1500,F$17,Input!$C$1:$C$1500,$C13,Input!$D$1:$D$1500,"R")/COUNTIFS(Input!$B$1:$B$1500,F$17,Input!$C$1:$C$1500,$C13)</f>
        <v>0</v>
      </c>
      <c r="Z13" s="3">
        <f>COUNTIFS(Input!$B$1:$B$1500,G$17,Input!$C$1:$C$1500,$C13,Input!$D$1:$D$1500,"R")/COUNTIFS(Input!$B$1:$B$1500,G$17,Input!$C$1:$C$1500,$C13)</f>
        <v>0</v>
      </c>
      <c r="AA13" s="3">
        <f>COUNTIFS(Input!$B$1:$B$1500,H$17,Input!$C$1:$C$1500,$C13,Input!$D$1:$D$1500,"R")/COUNTIFS(Input!$B$1:$B$1500,H$17,Input!$C$1:$C$1500,$C13)</f>
        <v>0</v>
      </c>
      <c r="AB13" s="3">
        <f>COUNTIFS(Input!$B$1:$B$1500,I$17,Input!$C$1:$C$1500,$C13,Input!$D$1:$D$1500,"R")/COUNTIFS(Input!$B$1:$B$1500,I$17,Input!$C$1:$C$1500,$C13)</f>
        <v>0</v>
      </c>
      <c r="AC13" s="3">
        <f>COUNTIFS(Input!$B$1:$B$1500,J$17,Input!$C$1:$C$1500,$C13,Input!$D$1:$D$1500,"R")/COUNTIFS(Input!$B$1:$B$1500,J$17,Input!$C$1:$C$1500,$C13)</f>
        <v>0</v>
      </c>
      <c r="AD13" s="3" t="e">
        <f>COUNTIFS(Input!$B$1:$B$1500,K$17,Input!$C$1:$C$1500,$C13,Input!$D$1:$D$1500,"R")/COUNTIFS(Input!$B$1:$B$1500,K$17,Input!$C$1:$C$1500,$C13)</f>
        <v>#DIV/0!</v>
      </c>
      <c r="AE13" s="3">
        <f>COUNTIFS(Input!$B$1:$B$1500,L$17,Input!$C$1:$C$1500,$C13,Input!$D$1:$D$1500,"R")/COUNTIFS(Input!$B$1:$B$1500,L$17,Input!$C$1:$C$1500,$C13)</f>
        <v>0</v>
      </c>
      <c r="AF13" s="3">
        <f>COUNTIFS(Input!$B$1:$B$1500,M$17,Input!$C$1:$C$1500,$C13,Input!$D$1:$D$1500,"R")/COUNTIFS(Input!$B$1:$B$1500,M$17,Input!$C$1:$C$1500,$C13)</f>
        <v>0</v>
      </c>
      <c r="AG13" s="3">
        <f>COUNTIFS(Input!$B$1:$B$1500,N$17,Input!$C$1:$C$1500,$C13,Input!$D$1:$D$1500,"R")/COUNTIFS(Input!$B$1:$B$1500,N$17,Input!$C$1:$C$1500,$C13)</f>
        <v>0</v>
      </c>
      <c r="AH13" s="3">
        <f>COUNTIFS(Input!$B$1:$B$1500,O$17,Input!$C$1:$C$1500,$C13,Input!$D$1:$D$1500,"R")/COUNTIFS(Input!$B$1:$B$1500,O$17,Input!$C$1:$C$1500,$C13)</f>
        <v>0</v>
      </c>
      <c r="AI13" s="3">
        <f>COUNTIFS(Input!$B$1:$B$1500,P$17,Input!$C$1:$C$1500,$C13,Input!$D$1:$D$1500,"R")/COUNTIFS(Input!$B$1:$B$1500,P$17,Input!$C$1:$C$1500,$C13)</f>
        <v>0</v>
      </c>
      <c r="AJ13" s="3">
        <f>COUNTIFS(Input!$B$1:$B$1500,Q$17,Input!$C$1:$C$1500,$C13,Input!$D$1:$D$1500,"R")/COUNTIFS(Input!$B$1:$B$1500,Q$17,Input!$C$1:$C$1500,$C13)</f>
        <v>0</v>
      </c>
      <c r="AK13" s="3">
        <f>COUNTIFS(Input!$B$1:$B$1500,R$17,Input!$C$1:$C$1500,$C13,Input!$D$1:$D$1500,"R")/COUNTIFS(Input!$B$1:$B$1500,R$17,Input!$C$1:$C$1500,$C13)</f>
        <v>0</v>
      </c>
      <c r="AL13" s="3">
        <f>COUNTIFS(Input!$B$1:$B$1500,S$17,Input!$C$1:$C$1500,$C13,Input!$D$1:$D$1500,"R")/COUNTIFS(Input!$B$1:$B$1500,S$17,Input!$C$1:$C$1500,$C13)</f>
        <v>0</v>
      </c>
      <c r="AM13" s="3">
        <f>COUNTIFS(Input!$B$1:$B$1500,T$17,Input!$C$1:$C$1500,$C13,Input!$D$1:$D$1500,"R")/COUNTIFS(Input!$B$1:$B$1500,T$17,Input!$C$1:$C$1500,$C13)</f>
        <v>0</v>
      </c>
      <c r="AN13" s="3">
        <f>COUNTIFS(Input!$B$1:$B$1500,U$17,Input!$C$1:$C$1500,$C13,Input!$D$1:$D$1500,"R")/COUNTIFS(Input!$B$1:$B$1500,U$17,Input!$C$1:$C$1500,$C13)</f>
        <v>0</v>
      </c>
      <c r="AO13" s="3">
        <f>COUNTIFS(Input!$B$1:$B$1500,V$17,Input!$C$1:$C$1500,$C13,Input!$D$1:$D$1500,"R")/COUNTIFS(Input!$B$1:$B$1500,V$17,Input!$C$1:$C$1500,$C13)</f>
        <v>0</v>
      </c>
    </row>
    <row r="14" spans="1:43" s="2" customFormat="1" ht="22" customHeight="1">
      <c r="C14" s="5" t="s">
        <v>24</v>
      </c>
      <c r="D14" s="6" t="str">
        <f>COUNTIFS(Input!$B$1:$B$1500,D$17,Input!$C$1:$C$1500,$C14,Input!$D$1:$D$1500,"R")&amp;"/"&amp;COUNTIFS(Input!$B$1:$B$1500,D$17,Input!$C$1:$C$1500,$C14)</f>
        <v>0/16</v>
      </c>
      <c r="E14" s="6" t="str">
        <f>COUNTIFS(Input!$B$1:$B$1500,E$17,Input!$C$1:$C$1500,$C14,Input!$D$1:$D$1500,"R")&amp;"/"&amp;COUNTIFS(Input!$B$1:$B$1500,E$17,Input!$C$1:$C$1500,$C14)</f>
        <v>0/10</v>
      </c>
      <c r="F14" s="6" t="str">
        <f>COUNTIFS(Input!$B$1:$B$1500,F$17,Input!$C$1:$C$1500,$C14,Input!$D$1:$D$1500,"R")&amp;"/"&amp;COUNTIFS(Input!$B$1:$B$1500,F$17,Input!$C$1:$C$1500,$C14)</f>
        <v>0/9</v>
      </c>
      <c r="G14" s="6" t="str">
        <f>COUNTIFS(Input!$B$1:$B$1500,G$17,Input!$C$1:$C$1500,$C14,Input!$D$1:$D$1500,"R")&amp;"/"&amp;COUNTIFS(Input!$B$1:$B$1500,G$17,Input!$C$1:$C$1500,$C14)</f>
        <v>0/12</v>
      </c>
      <c r="H14" s="6" t="str">
        <f>COUNTIFS(Input!$B$1:$B$1500,H$17,Input!$C$1:$C$1500,$C14,Input!$D$1:$D$1500,"R")&amp;"/"&amp;COUNTIFS(Input!$B$1:$B$1500,H$17,Input!$C$1:$C$1500,$C14)</f>
        <v>0/8</v>
      </c>
      <c r="I14" s="6" t="str">
        <f>COUNTIFS(Input!$B$1:$B$1500,I$17,Input!$C$1:$C$1500,$C14,Input!$D$1:$D$1500,"R")&amp;"/"&amp;COUNTIFS(Input!$B$1:$B$1500,I$17,Input!$C$1:$C$1500,$C14)</f>
        <v>0/2</v>
      </c>
      <c r="J14" s="6" t="str">
        <f>COUNTIFS(Input!$B$1:$B$1500,J$17,Input!$C$1:$C$1500,$C14,Input!$D$1:$D$1500,"R")&amp;"/"&amp;COUNTIFS(Input!$B$1:$B$1500,J$17,Input!$C$1:$C$1500,$C14)</f>
        <v>0/6</v>
      </c>
      <c r="K14" s="6" t="str">
        <f>COUNTIFS(Input!$B$1:$B$1500,K$17,Input!$C$1:$C$1500,$C14,Input!$D$1:$D$1500,"R")&amp;"/"&amp;COUNTIFS(Input!$B$1:$B$1500,K$17,Input!$C$1:$C$1500,$C14)</f>
        <v>0/0</v>
      </c>
      <c r="L14" s="6" t="str">
        <f>COUNTIFS(Input!$B$1:$B$1500,L$17,Input!$C$1:$C$1500,$C14,Input!$D$1:$D$1500,"R")&amp;"/"&amp;COUNTIFS(Input!$B$1:$B$1500,L$17,Input!$C$1:$C$1500,$C14)</f>
        <v>0/1</v>
      </c>
      <c r="M14" s="6" t="str">
        <f>COUNTIFS(Input!$B$1:$B$1500,M$17,Input!$C$1:$C$1500,$C14,Input!$D$1:$D$1500,"R")&amp;"/"&amp;COUNTIFS(Input!$B$1:$B$1500,M$17,Input!$C$1:$C$1500,$C14)</f>
        <v>0/6</v>
      </c>
      <c r="N14" s="6" t="str">
        <f>COUNTIFS(Input!$B$1:$B$1500,N$17,Input!$C$1:$C$1500,$C14,Input!$D$1:$D$1500,"R")&amp;"/"&amp;COUNTIFS(Input!$B$1:$B$1500,N$17,Input!$C$1:$C$1500,$C14)</f>
        <v>0/4</v>
      </c>
      <c r="O14" s="6" t="str">
        <f>COUNTIFS(Input!$B$1:$B$1500,O$17,Input!$C$1:$C$1500,$C14,Input!$D$1:$D$1500,"R")&amp;"/"&amp;COUNTIFS(Input!$B$1:$B$1500,O$17,Input!$C$1:$C$1500,$C14)</f>
        <v>0/7</v>
      </c>
      <c r="P14" s="6" t="str">
        <f>COUNTIFS(Input!$B$1:$B$1500,P$17,Input!$C$1:$C$1500,$C14,Input!$D$1:$D$1500,"R")&amp;"/"&amp;COUNTIFS(Input!$B$1:$B$1500,P$17,Input!$C$1:$C$1500,$C14)</f>
        <v>0/7</v>
      </c>
      <c r="Q14" s="6" t="str">
        <f>COUNTIFS(Input!$B$1:$B$1500,Q$17,Input!$C$1:$C$1500,$C14,Input!$D$1:$D$1500,"R")&amp;"/"&amp;COUNTIFS(Input!$B$1:$B$1500,Q$17,Input!$C$1:$C$1500,$C14)</f>
        <v>0/3</v>
      </c>
      <c r="R14" s="6"/>
      <c r="S14" s="6" t="str">
        <f>COUNTIFS(Input!$B$1:$B$1500,S$17,Input!$C$1:$C$1500,$C14,Input!$D$1:$D$1500,"R")&amp;"/"&amp;COUNTIFS(Input!$B$1:$B$1500,S$17,Input!$C$1:$C$1500,$C14)</f>
        <v>0/1</v>
      </c>
      <c r="T14" s="6" t="str">
        <f>COUNTIFS(Input!$B$1:$B$1500,T$17,Input!$C$1:$C$1500,$C14,Input!$D$1:$D$1500,"R")&amp;"/"&amp;COUNTIFS(Input!$B$1:$B$1500,T$17,Input!$C$1:$C$1500,$C14)</f>
        <v>0/5</v>
      </c>
      <c r="U14" s="6" t="str">
        <f>COUNTIFS(Input!$B$1:$B$1500,U$17,Input!$C$1:$C$1500,$C14,Input!$D$1:$D$1500,"R")&amp;"/"&amp;COUNTIFS(Input!$B$1:$B$1500,U$17,Input!$C$1:$C$1500,$C14)</f>
        <v>0/2</v>
      </c>
      <c r="V14" s="6" t="str">
        <f>COUNTIFS(Input!$B$1:$B$1500,V$17,Input!$C$1:$C$1500,$C14,Input!$D$1:$D$1500,"R")&amp;"/"&amp;COUNTIFS(Input!$B$1:$B$1500,V$17,Input!$C$1:$C$1500,$C14)</f>
        <v>0/3</v>
      </c>
      <c r="W14" s="3">
        <f>COUNTIFS(Input!$B$1:$B$1500,D$17,Input!$C$1:$C$1500,$C14,Input!$D$1:$D$1500,"R")/COUNTIFS(Input!$B$1:$B$1500,D$17,Input!$C$1:$C$1500,$C14)</f>
        <v>0</v>
      </c>
      <c r="X14" s="3">
        <f>COUNTIFS(Input!$B$1:$B$1500,E$17,Input!$C$1:$C$1500,$C14,Input!$D$1:$D$1500,"R")/COUNTIFS(Input!$B$1:$B$1500,E$17,Input!$C$1:$C$1500,$C14)</f>
        <v>0</v>
      </c>
      <c r="Y14" s="3">
        <f>COUNTIFS(Input!$B$1:$B$1500,F$17,Input!$C$1:$C$1500,$C14,Input!$D$1:$D$1500,"R")/COUNTIFS(Input!$B$1:$B$1500,F$17,Input!$C$1:$C$1500,$C14)</f>
        <v>0</v>
      </c>
      <c r="Z14" s="3">
        <f>COUNTIFS(Input!$B$1:$B$1500,G$17,Input!$C$1:$C$1500,$C14,Input!$D$1:$D$1500,"R")/COUNTIFS(Input!$B$1:$B$1500,G$17,Input!$C$1:$C$1500,$C14)</f>
        <v>0</v>
      </c>
      <c r="AA14" s="3">
        <f>COUNTIFS(Input!$B$1:$B$1500,H$17,Input!$C$1:$C$1500,$C14,Input!$D$1:$D$1500,"R")/COUNTIFS(Input!$B$1:$B$1500,H$17,Input!$C$1:$C$1500,$C14)</f>
        <v>0</v>
      </c>
      <c r="AB14" s="3">
        <f>COUNTIFS(Input!$B$1:$B$1500,I$17,Input!$C$1:$C$1500,$C14,Input!$D$1:$D$1500,"R")/COUNTIFS(Input!$B$1:$B$1500,I$17,Input!$C$1:$C$1500,$C14)</f>
        <v>0</v>
      </c>
      <c r="AC14" s="3">
        <f>COUNTIFS(Input!$B$1:$B$1500,J$17,Input!$C$1:$C$1500,$C14,Input!$D$1:$D$1500,"R")/COUNTIFS(Input!$B$1:$B$1500,J$17,Input!$C$1:$C$1500,$C14)</f>
        <v>0</v>
      </c>
      <c r="AD14" s="3" t="e">
        <f>COUNTIFS(Input!$B$1:$B$1500,K$17,Input!$C$1:$C$1500,$C14,Input!$D$1:$D$1500,"R")/COUNTIFS(Input!$B$1:$B$1500,K$17,Input!$C$1:$C$1500,$C14)</f>
        <v>#DIV/0!</v>
      </c>
      <c r="AE14" s="3">
        <f>COUNTIFS(Input!$B$1:$B$1500,L$17,Input!$C$1:$C$1500,$C14,Input!$D$1:$D$1500,"R")/COUNTIFS(Input!$B$1:$B$1500,L$17,Input!$C$1:$C$1500,$C14)</f>
        <v>0</v>
      </c>
      <c r="AF14" s="3">
        <f>COUNTIFS(Input!$B$1:$B$1500,M$17,Input!$C$1:$C$1500,$C14,Input!$D$1:$D$1500,"R")/COUNTIFS(Input!$B$1:$B$1500,M$17,Input!$C$1:$C$1500,$C14)</f>
        <v>0</v>
      </c>
      <c r="AG14" s="3">
        <f>COUNTIFS(Input!$B$1:$B$1500,N$17,Input!$C$1:$C$1500,$C14,Input!$D$1:$D$1500,"R")/COUNTIFS(Input!$B$1:$B$1500,N$17,Input!$C$1:$C$1500,$C14)</f>
        <v>0</v>
      </c>
      <c r="AH14" s="3">
        <f>COUNTIFS(Input!$B$1:$B$1500,O$17,Input!$C$1:$C$1500,$C14,Input!$D$1:$D$1500,"R")/COUNTIFS(Input!$B$1:$B$1500,O$17,Input!$C$1:$C$1500,$C14)</f>
        <v>0</v>
      </c>
      <c r="AI14" s="3">
        <f>COUNTIFS(Input!$B$1:$B$1500,P$17,Input!$C$1:$C$1500,$C14,Input!$D$1:$D$1500,"R")/COUNTIFS(Input!$B$1:$B$1500,P$17,Input!$C$1:$C$1500,$C14)</f>
        <v>0</v>
      </c>
      <c r="AJ14" s="3">
        <f>COUNTIFS(Input!$B$1:$B$1500,Q$17,Input!$C$1:$C$1500,$C14,Input!$D$1:$D$1500,"R")/COUNTIFS(Input!$B$1:$B$1500,Q$17,Input!$C$1:$C$1500,$C14)</f>
        <v>0</v>
      </c>
      <c r="AK14" s="3" t="e">
        <f>COUNTIFS(Input!$B$1:$B$1500,R$17,Input!$C$1:$C$1500,$C14,Input!$D$1:$D$1500,"R")/COUNTIFS(Input!$B$1:$B$1500,R$17,Input!$C$1:$C$1500,$C14)</f>
        <v>#DIV/0!</v>
      </c>
      <c r="AL14" s="3">
        <f>COUNTIFS(Input!$B$1:$B$1500,S$17,Input!$C$1:$C$1500,$C14,Input!$D$1:$D$1500,"R")/COUNTIFS(Input!$B$1:$B$1500,S$17,Input!$C$1:$C$1500,$C14)</f>
        <v>0</v>
      </c>
      <c r="AM14" s="3">
        <f>COUNTIFS(Input!$B$1:$B$1500,T$17,Input!$C$1:$C$1500,$C14,Input!$D$1:$D$1500,"R")/COUNTIFS(Input!$B$1:$B$1500,T$17,Input!$C$1:$C$1500,$C14)</f>
        <v>0</v>
      </c>
      <c r="AN14" s="3">
        <f>COUNTIFS(Input!$B$1:$B$1500,U$17,Input!$C$1:$C$1500,$C14,Input!$D$1:$D$1500,"R")/COUNTIFS(Input!$B$1:$B$1500,U$17,Input!$C$1:$C$1500,$C14)</f>
        <v>0</v>
      </c>
      <c r="AO14" s="3">
        <f>COUNTIFS(Input!$B$1:$B$1500,V$17,Input!$C$1:$C$1500,$C14,Input!$D$1:$D$1500,"R")/COUNTIFS(Input!$B$1:$B$1500,V$17,Input!$C$1:$C$1500,$C14)</f>
        <v>0</v>
      </c>
      <c r="AP14" s="8"/>
      <c r="AQ14" s="8"/>
    </row>
    <row r="15" spans="1:43" s="2" customFormat="1" ht="34">
      <c r="C15" s="45" t="s">
        <v>1330</v>
      </c>
      <c r="D15" s="7" t="s">
        <v>1502</v>
      </c>
      <c r="E15" s="7" t="s">
        <v>1503</v>
      </c>
      <c r="F15" s="7" t="s">
        <v>1504</v>
      </c>
      <c r="G15" s="7" t="s">
        <v>1498</v>
      </c>
      <c r="H15" s="7" t="s">
        <v>1499</v>
      </c>
      <c r="I15" s="45" t="s">
        <v>1322</v>
      </c>
      <c r="J15" s="7" t="s">
        <v>97</v>
      </c>
      <c r="K15" s="7" t="s">
        <v>414</v>
      </c>
      <c r="L15" s="46" t="s">
        <v>105</v>
      </c>
      <c r="M15" s="7" t="s">
        <v>110</v>
      </c>
      <c r="N15" s="7" t="s">
        <v>118</v>
      </c>
      <c r="O15" s="7" t="s">
        <v>124</v>
      </c>
      <c r="P15" s="7" t="s">
        <v>135</v>
      </c>
      <c r="Q15" s="7" t="s">
        <v>144</v>
      </c>
      <c r="R15" s="7" t="s">
        <v>294</v>
      </c>
      <c r="S15" s="7" t="s">
        <v>149</v>
      </c>
      <c r="T15" s="45" t="s">
        <v>1331</v>
      </c>
      <c r="U15" s="7" t="s">
        <v>161</v>
      </c>
      <c r="V15" s="7" t="s">
        <v>165</v>
      </c>
    </row>
    <row r="16" spans="1:43" s="2" customFormat="1" ht="17">
      <c r="C16" s="45"/>
      <c r="D16" s="45" t="s">
        <v>1501</v>
      </c>
      <c r="E16" s="45"/>
      <c r="F16" s="45"/>
      <c r="G16" s="45"/>
      <c r="H16" s="45"/>
      <c r="I16" s="45"/>
      <c r="J16" s="45" t="s">
        <v>1497</v>
      </c>
      <c r="K16" s="45"/>
      <c r="L16" s="47"/>
      <c r="M16" s="45" t="s">
        <v>1500</v>
      </c>
      <c r="N16" s="45"/>
      <c r="O16" s="45"/>
      <c r="P16" s="45" t="s">
        <v>1326</v>
      </c>
      <c r="Q16" s="45"/>
      <c r="R16" s="45"/>
      <c r="S16" s="45"/>
      <c r="T16" s="45"/>
      <c r="U16" s="45" t="s">
        <v>1328</v>
      </c>
      <c r="V16" s="45"/>
    </row>
    <row r="17" spans="4:41" s="2" customFormat="1" hidden="1">
      <c r="D17" s="8" t="s">
        <v>23</v>
      </c>
      <c r="E17" s="8" t="s">
        <v>42</v>
      </c>
      <c r="F17" s="8" t="s">
        <v>55</v>
      </c>
      <c r="G17" s="8" t="s">
        <v>67</v>
      </c>
      <c r="H17" s="8" t="s">
        <v>81</v>
      </c>
      <c r="I17" s="2" t="s">
        <v>91</v>
      </c>
      <c r="J17" s="8" t="s">
        <v>97</v>
      </c>
      <c r="K17" s="8" t="s">
        <v>414</v>
      </c>
      <c r="L17" s="8" t="s">
        <v>105</v>
      </c>
      <c r="M17" s="8" t="s">
        <v>110</v>
      </c>
      <c r="N17" s="8" t="s">
        <v>118</v>
      </c>
      <c r="O17" s="8" t="s">
        <v>124</v>
      </c>
      <c r="P17" s="8" t="s">
        <v>135</v>
      </c>
      <c r="Q17" s="8" t="s">
        <v>144</v>
      </c>
      <c r="R17" s="8" t="s">
        <v>294</v>
      </c>
      <c r="S17" s="8" t="s">
        <v>149</v>
      </c>
      <c r="T17" t="s">
        <v>152</v>
      </c>
      <c r="U17" s="8" t="s">
        <v>161</v>
      </c>
      <c r="V17" s="8" t="s">
        <v>165</v>
      </c>
    </row>
    <row r="18" spans="4:41" s="2" customFormat="1">
      <c r="I18" s="8"/>
      <c r="T18" s="8"/>
    </row>
    <row r="19" spans="4:41" s="2" customFormat="1">
      <c r="P19" s="8"/>
      <c r="W19" s="8"/>
      <c r="X19" s="8"/>
      <c r="Y19" s="8"/>
      <c r="Z19" s="8"/>
      <c r="AA19" s="8"/>
      <c r="AB19" s="8"/>
      <c r="AC19" s="8"/>
      <c r="AD19" s="8"/>
      <c r="AE19" s="8"/>
      <c r="AF19" s="8"/>
      <c r="AG19" s="8"/>
      <c r="AH19" s="8"/>
      <c r="AI19" s="8"/>
      <c r="AJ19" s="8"/>
      <c r="AK19" s="8"/>
      <c r="AL19" s="8"/>
      <c r="AM19" s="8"/>
      <c r="AN19" s="8"/>
      <c r="AO19" s="8"/>
    </row>
  </sheetData>
  <mergeCells count="9">
    <mergeCell ref="U16:V16"/>
    <mergeCell ref="C15:C16"/>
    <mergeCell ref="I15:I16"/>
    <mergeCell ref="L15:L16"/>
    <mergeCell ref="T15:T16"/>
    <mergeCell ref="D16:H16"/>
    <mergeCell ref="J16:K16"/>
    <mergeCell ref="M16:O16"/>
    <mergeCell ref="P16:S16"/>
  </mergeCells>
  <phoneticPr fontId="26" type="noConversion"/>
  <conditionalFormatting sqref="D4:V14">
    <cfRule type="expression" dxfId="11" priority="5" stopIfTrue="1">
      <formula>IF(W4&lt;1/2,1,0)=1</formula>
    </cfRule>
    <cfRule type="expression" dxfId="10" priority="4" stopIfTrue="1">
      <formula>IF(W4&gt;=1/2,1,0)=1</formula>
    </cfRule>
    <cfRule type="expression" dxfId="9" priority="3" stopIfTrue="1">
      <formula>IF(W4&gt;=2/3,1,0)=1</formula>
    </cfRule>
    <cfRule type="expression" dxfId="8" priority="2" stopIfTrue="1">
      <formula>IF(W4=1,1,0)=1</formula>
    </cfRule>
    <cfRule type="expression" priority="1" stopIfTrue="1">
      <formula>IF(W4=0,1,0)=1</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O35"/>
  <sheetViews>
    <sheetView tabSelected="1" topLeftCell="A29" workbookViewId="0">
      <selection activeCell="I42" sqref="I42"/>
    </sheetView>
  </sheetViews>
  <sheetFormatPr defaultColWidth="9" defaultRowHeight="14.5"/>
  <cols>
    <col min="1" max="1" width="9" style="3"/>
    <col min="2" max="2" width="12.09765625" style="3" customWidth="1"/>
    <col min="3" max="3" width="14.59765625" style="3" customWidth="1"/>
    <col min="4" max="22" width="9" style="3"/>
    <col min="23" max="39" width="9" style="3" hidden="1" customWidth="1"/>
    <col min="40" max="41" width="12.59765625" style="3" hidden="1" customWidth="1"/>
    <col min="42" max="16384" width="9" style="3"/>
  </cols>
  <sheetData>
    <row r="1" spans="1:41" customFormat="1"/>
    <row r="2" spans="1:41" s="1" customFormat="1" ht="21">
      <c r="A2" s="4" t="s">
        <v>1332</v>
      </c>
      <c r="W2" s="11"/>
      <c r="X2" s="11"/>
      <c r="Y2" s="11"/>
      <c r="Z2" s="11"/>
      <c r="AA2" s="11"/>
      <c r="AB2" s="11"/>
      <c r="AC2" s="11"/>
      <c r="AD2" s="11"/>
      <c r="AE2" s="11"/>
      <c r="AF2" s="11"/>
      <c r="AG2" s="11"/>
      <c r="AH2" s="11"/>
      <c r="AI2" s="11"/>
      <c r="AJ2" s="11"/>
      <c r="AK2" s="11"/>
      <c r="AL2" s="11"/>
      <c r="AM2" s="11"/>
      <c r="AN2" s="11"/>
      <c r="AO2" s="11"/>
    </row>
    <row r="3" spans="1:41" s="2" customFormat="1">
      <c r="W3" s="8"/>
      <c r="X3" s="8"/>
      <c r="Y3" s="8"/>
      <c r="Z3" s="8"/>
      <c r="AA3" s="8"/>
      <c r="AB3" s="8"/>
      <c r="AC3" s="8"/>
      <c r="AD3" s="8"/>
      <c r="AE3" s="8"/>
      <c r="AF3" s="8"/>
      <c r="AG3" s="8"/>
      <c r="AH3" s="8"/>
      <c r="AI3" s="8"/>
      <c r="AJ3" s="8"/>
      <c r="AK3" s="8"/>
      <c r="AL3" s="8"/>
      <c r="AM3" s="8"/>
      <c r="AN3" s="8"/>
      <c r="AO3" s="8"/>
    </row>
    <row r="4" spans="1:41" s="2" customFormat="1" ht="22" customHeight="1">
      <c r="C4" s="5" t="s">
        <v>1229</v>
      </c>
      <c r="D4" s="6"/>
      <c r="E4" s="6"/>
      <c r="F4" s="6"/>
      <c r="G4" s="6"/>
      <c r="H4" s="6"/>
      <c r="I4" s="6" t="str">
        <f>COUNTIFS(Input!$B$1:$B$1500,I$17,Input!$C$1:$C$1500,$C4,Input!$D$1:$D$1500,"R")&amp;"/"&amp;COUNTIFS(Input!$B$1:$B$1500,I$17,Input!$C$1:$C$1500,$C4)</f>
        <v>0/4</v>
      </c>
      <c r="J4" s="6"/>
      <c r="K4" s="6"/>
      <c r="L4" s="6" t="str">
        <f>COUNTIFS(Input!$B$1:$B$1500,L$17,Input!$C$1:$C$1500,$C4,Input!$D$1:$D$1500,"R")&amp;"/"&amp;COUNTIFS(Input!$B$1:$B$1500,L$17,Input!$C$1:$C$1500,$C4)</f>
        <v>0/9</v>
      </c>
      <c r="M4" s="6" t="str">
        <f>COUNTIFS(Input!$B$1:$B$1500,M$17,Input!$C$1:$C$1500,$C4,Input!$D$1:$D$1500,"R")&amp;"/"&amp;COUNTIFS(Input!$B$1:$B$1500,M$17,Input!$C$1:$C$1500,$C4)</f>
        <v>0/14</v>
      </c>
      <c r="N4" s="6" t="str">
        <f>COUNTIFS(Input!$B$1:$B$1500,N$17,Input!$C$1:$C$1500,$C4,Input!$D$1:$D$1500,"R")&amp;"/"&amp;COUNTIFS(Input!$B$1:$B$1500,N$17,Input!$C$1:$C$1500,$C4)</f>
        <v>0/10</v>
      </c>
      <c r="O4" s="6" t="str">
        <f>COUNTIFS(Input!$B$1:$B$1500,O$17,Input!$C$1:$C$1500,$C4,Input!$D$1:$D$1500,"R")&amp;"/"&amp;COUNTIFS(Input!$B$1:$B$1500,O$17,Input!$C$1:$C$1500,$C4)</f>
        <v>0/4</v>
      </c>
      <c r="P4" s="6" t="str">
        <f>COUNTIFS(Input!$B$1:$B$1500,P$17,Input!$C$1:$C$1500,$C4,Input!$D$1:$D$1500,"R")&amp;"/"&amp;COUNTIFS(Input!$B$1:$B$1500,P$17,Input!$C$1:$C$1500,$C4)</f>
        <v>0/3</v>
      </c>
      <c r="Q4" s="6" t="str">
        <f>COUNTIFS(Input!$B$1:$B$1500,Q$17,Input!$C$1:$C$1500,$C4,Input!$D$1:$D$1500,"R")&amp;"/"&amp;COUNTIFS(Input!$B$1:$B$1500,Q$17,Input!$C$1:$C$1500,$C4)</f>
        <v>0/4</v>
      </c>
      <c r="R4" s="6" t="str">
        <f>COUNTIFS(Input!$B$1:$B$1500,R$17,Input!$C$1:$C$1500,$C4,Input!$D$1:$D$1500,"R")&amp;"/"&amp;COUNTIFS(Input!$B$1:$B$1500,R$17,Input!$C$1:$C$1500,$C4)</f>
        <v>0/8</v>
      </c>
      <c r="S4" s="6" t="str">
        <f>COUNTIFS(Input!$B$1:$B$1500,S$17,Input!$C$1:$C$1500,$C4,Input!$D$1:$D$1500,"R")&amp;"/"&amp;COUNTIFS(Input!$B$1:$B$1500,S$17,Input!$C$1:$C$1500,$C4)</f>
        <v>0/8</v>
      </c>
      <c r="T4" s="6"/>
      <c r="U4" s="6" t="str">
        <f>COUNTIFS(Input!$B$1:$B$1500,U$17,Input!$C$1:$C$1500,$C4,Input!$D$1:$D$1500,"R")&amp;"/"&amp;COUNTIFS(Input!$B$1:$B$1500,U$17,Input!$C$1:$C$1500,$C4)</f>
        <v>0/6</v>
      </c>
      <c r="V4" s="6" t="str">
        <f>COUNTIFS(Input!$B$1:$B$1500,V$17,Input!$C$1:$C$1500,$C4,Input!$D$1:$D$1500,"R")&amp;"/"&amp;COUNTIFS(Input!$B$1:$B$1500,V$17,Input!$C$1:$C$1500,$C4)</f>
        <v>0/10</v>
      </c>
      <c r="W4" s="3" t="e">
        <f>COUNTIFS(Input!$B$1:$B$1500,D$17,Input!$C$1:$C$1500,$C4,Input!$D$1:$D$1500,"R")/COUNTIFS(Input!$B$1:$B$1500,D$17,Input!$C$1:$C$1500,$C4)</f>
        <v>#DIV/0!</v>
      </c>
      <c r="X4" s="3" t="e">
        <f>COUNTIFS(Input!$B$1:$B$1500,E$17,Input!$C$1:$C$1500,$C4,Input!$D$1:$D$1500,"R")/COUNTIFS(Input!$B$1:$B$1500,E$17,Input!$C$1:$C$1500,$C4)</f>
        <v>#DIV/0!</v>
      </c>
      <c r="Y4" s="3" t="e">
        <f>COUNTIFS(Input!$B$1:$B$1500,F$17,Input!$C$1:$C$1500,$C4,Input!$D$1:$D$1500,"R")/COUNTIFS(Input!$B$1:$B$1500,F$17,Input!$C$1:$C$1500,$C4)</f>
        <v>#DIV/0!</v>
      </c>
      <c r="Z4" s="3" t="e">
        <f>COUNTIFS(Input!$B$1:$B$1500,G$17,Input!$C$1:$C$1500,$C4,Input!$D$1:$D$1500,"R")/COUNTIFS(Input!$B$1:$B$1500,G$17,Input!$C$1:$C$1500,$C4)</f>
        <v>#DIV/0!</v>
      </c>
      <c r="AA4" s="3" t="e">
        <f>COUNTIFS(Input!$B$1:$B$1500,H$17,Input!$C$1:$C$1500,$C4,Input!$D$1:$D$1500,"R")/COUNTIFS(Input!$B$1:$B$1500,H$17,Input!$C$1:$C$1500,$C4)</f>
        <v>#DIV/0!</v>
      </c>
      <c r="AB4" s="3">
        <f>COUNTIFS(Input!$B$1:$B$1500,I$17,Input!$C$1:$C$1500,$C4,Input!$D$1:$D$1500,"R")/COUNTIFS(Input!$B$1:$B$1500,I$17,Input!$C$1:$C$1500,$C4)</f>
        <v>0</v>
      </c>
      <c r="AC4" s="3" t="e">
        <f>COUNTIFS(Input!$B$1:$B$1500,J$17,Input!$C$1:$C$1500,$C4,Input!$D$1:$D$1500,"R")/COUNTIFS(Input!$B$1:$B$1500,J$17,Input!$C$1:$C$1500,$C4)</f>
        <v>#DIV/0!</v>
      </c>
      <c r="AD4" s="3" t="e">
        <f>COUNTIFS(Input!$B$1:$B$1500,K$17,Input!$C$1:$C$1500,$C4,Input!$D$1:$D$1500,"R")/COUNTIFS(Input!$B$1:$B$1500,K$17,Input!$C$1:$C$1500,$C4)</f>
        <v>#DIV/0!</v>
      </c>
      <c r="AE4" s="3">
        <f>COUNTIFS(Input!$B$1:$B$1500,L$17,Input!$C$1:$C$1500,$C4,Input!$D$1:$D$1500,"R")/COUNTIFS(Input!$B$1:$B$1500,L$17,Input!$C$1:$C$1500,$C4)</f>
        <v>0</v>
      </c>
      <c r="AF4" s="3">
        <f>COUNTIFS(Input!$B$1:$B$1500,M$17,Input!$C$1:$C$1500,$C4,Input!$D$1:$D$1500,"R")/COUNTIFS(Input!$B$1:$B$1500,M$17,Input!$C$1:$C$1500,$C4)</f>
        <v>0</v>
      </c>
      <c r="AG4" s="3">
        <f>COUNTIFS(Input!$B$1:$B$1500,N$17,Input!$C$1:$C$1500,$C4,Input!$D$1:$D$1500,"R")/COUNTIFS(Input!$B$1:$B$1500,N$17,Input!$C$1:$C$1500,$C4)</f>
        <v>0</v>
      </c>
      <c r="AH4" s="3">
        <f>COUNTIFS(Input!$B$1:$B$1500,O$17,Input!$C$1:$C$1500,$C4,Input!$D$1:$D$1500,"R")/COUNTIFS(Input!$B$1:$B$1500,O$17,Input!$C$1:$C$1500,$C4)</f>
        <v>0</v>
      </c>
      <c r="AI4" s="3">
        <f>COUNTIFS(Input!$B$1:$B$1500,P$17,Input!$C$1:$C$1500,$C4,Input!$D$1:$D$1500,"R")/COUNTIFS(Input!$B$1:$B$1500,P$17,Input!$C$1:$C$1500,$C4)</f>
        <v>0</v>
      </c>
      <c r="AJ4" s="3">
        <f>COUNTIFS(Input!$B$1:$B$1500,Q$17,Input!$C$1:$C$1500,$C4,Input!$D$1:$D$1500,"R")/COUNTIFS(Input!$B$1:$B$1500,Q$17,Input!$C$1:$C$1500,$C4)</f>
        <v>0</v>
      </c>
      <c r="AK4" s="3">
        <f>COUNTIFS(Input!$B$1:$B$1500,R$17,Input!$C$1:$C$1500,$C4,Input!$D$1:$D$1500,"R")/COUNTIFS(Input!$B$1:$B$1500,R$17,Input!$C$1:$C$1500,$C4)</f>
        <v>0</v>
      </c>
      <c r="AL4" s="3">
        <f>COUNTIFS(Input!$B$1:$B$1500,S$17,Input!$C$1:$C$1500,$C4,Input!$D$1:$D$1500,"R")/COUNTIFS(Input!$B$1:$B$1500,S$17,Input!$C$1:$C$1500,$C4)</f>
        <v>0</v>
      </c>
      <c r="AM4" s="3" t="e">
        <f>COUNTIFS(Input!$B$1:$B$1500,T$17,Input!$C$1:$C$1500,$C4,Input!$D$1:$D$1500,"R")/COUNTIFS(Input!$B$1:$B$1500,T$17,Input!$C$1:$C$1500,$C4)</f>
        <v>#DIV/0!</v>
      </c>
      <c r="AN4" s="3">
        <f>COUNTIFS(Input!$B$1:$B$1500,U$17,Input!$C$1:$C$1500,$C4,Input!$D$1:$D$1500,"R")/COUNTIFS(Input!$B$1:$B$1500,U$17,Input!$C$1:$C$1500,$C4)</f>
        <v>0</v>
      </c>
      <c r="AO4" s="3">
        <f>COUNTIFS(Input!$B$1:$B$1500,V$17,Input!$C$1:$C$1500,$C4,Input!$D$1:$D$1500,"R")/COUNTIFS(Input!$B$1:$B$1500,V$17,Input!$C$1:$C$1500,$C4)</f>
        <v>0</v>
      </c>
    </row>
    <row r="5" spans="1:41" s="2" customFormat="1" ht="22" customHeight="1">
      <c r="C5" s="5" t="s">
        <v>1123</v>
      </c>
      <c r="D5" s="6"/>
      <c r="E5" s="6"/>
      <c r="F5" s="6"/>
      <c r="G5" s="6"/>
      <c r="H5" s="6"/>
      <c r="I5" s="6" t="str">
        <f>COUNTIFS(Input!$B$1:$B$1500,I$17,Input!$C$1:$C$1500,$C5,Input!$D$1:$D$1500,"R")&amp;"/"&amp;COUNTIFS(Input!$B$1:$B$1500,I$17,Input!$C$1:$C$1500,$C5)</f>
        <v>0/6</v>
      </c>
      <c r="J5" s="6"/>
      <c r="K5" s="6"/>
      <c r="L5" s="6" t="str">
        <f>COUNTIFS(Input!$B$1:$B$1500,L$17,Input!$C$1:$C$1500,$C5,Input!$D$1:$D$1500,"R")&amp;"/"&amp;COUNTIFS(Input!$B$1:$B$1500,L$17,Input!$C$1:$C$1500,$C5)</f>
        <v>0/11</v>
      </c>
      <c r="M5" s="6" t="str">
        <f>COUNTIFS(Input!$B$1:$B$1500,M$17,Input!$C$1:$C$1500,$C5,Input!$D$1:$D$1500,"R")&amp;"/"&amp;COUNTIFS(Input!$B$1:$B$1500,M$17,Input!$C$1:$C$1500,$C5)</f>
        <v>0/13</v>
      </c>
      <c r="N5" s="6" t="str">
        <f>COUNTIFS(Input!$B$1:$B$1500,N$17,Input!$C$1:$C$1500,$C5,Input!$D$1:$D$1500,"R")&amp;"/"&amp;COUNTIFS(Input!$B$1:$B$1500,N$17,Input!$C$1:$C$1500,$C5)</f>
        <v>0/9</v>
      </c>
      <c r="O5" s="6" t="str">
        <f>COUNTIFS(Input!$B$1:$B$1500,O$17,Input!$C$1:$C$1500,$C5,Input!$D$1:$D$1500,"R")&amp;"/"&amp;COUNTIFS(Input!$B$1:$B$1500,O$17,Input!$C$1:$C$1500,$C5)</f>
        <v>0/18</v>
      </c>
      <c r="P5" s="6" t="str">
        <f>COUNTIFS(Input!$B$1:$B$1500,P$17,Input!$C$1:$C$1500,$C5,Input!$D$1:$D$1500,"R")&amp;"/"&amp;COUNTIFS(Input!$B$1:$B$1500,P$17,Input!$C$1:$C$1500,$C5)</f>
        <v>0/2</v>
      </c>
      <c r="Q5" s="6" t="str">
        <f>COUNTIFS(Input!$B$1:$B$1500,Q$17,Input!$C$1:$C$1500,$C5,Input!$D$1:$D$1500,"R")&amp;"/"&amp;COUNTIFS(Input!$B$1:$B$1500,Q$17,Input!$C$1:$C$1500,$C5)</f>
        <v>0/4</v>
      </c>
      <c r="R5" s="6" t="str">
        <f>COUNTIFS(Input!$B$1:$B$1500,R$17,Input!$C$1:$C$1500,$C5,Input!$D$1:$D$1500,"R")&amp;"/"&amp;COUNTIFS(Input!$B$1:$B$1500,R$17,Input!$C$1:$C$1500,$C5)</f>
        <v>0/3</v>
      </c>
      <c r="S5" s="6" t="str">
        <f>COUNTIFS(Input!$B$1:$B$1500,S$17,Input!$C$1:$C$1500,$C5,Input!$D$1:$D$1500,"R")&amp;"/"&amp;COUNTIFS(Input!$B$1:$B$1500,S$17,Input!$C$1:$C$1500,$C5)</f>
        <v>0/3</v>
      </c>
      <c r="T5" s="6"/>
      <c r="U5" s="6" t="str">
        <f>COUNTIFS(Input!$B$1:$B$1500,U$17,Input!$C$1:$C$1500,$C5,Input!$D$1:$D$1500,"R")&amp;"/"&amp;COUNTIFS(Input!$B$1:$B$1500,U$17,Input!$C$1:$C$1500,$C5)</f>
        <v>0/6</v>
      </c>
      <c r="V5" s="6" t="str">
        <f>COUNTIFS(Input!$B$1:$B$1500,V$17,Input!$C$1:$C$1500,$C5,Input!$D$1:$D$1500,"R")&amp;"/"&amp;COUNTIFS(Input!$B$1:$B$1500,V$17,Input!$C$1:$C$1500,$C5)</f>
        <v>0/18</v>
      </c>
      <c r="W5" s="3" t="e">
        <f>COUNTIFS(Input!$B$1:$B$1500,D$17,Input!$C$1:$C$1500,$C5,Input!$D$1:$D$1500,"R")/COUNTIFS(Input!$B$1:$B$1500,D$17,Input!$C$1:$C$1500,$C5)</f>
        <v>#DIV/0!</v>
      </c>
      <c r="X5" s="3" t="e">
        <f>COUNTIFS(Input!$B$1:$B$1500,E$17,Input!$C$1:$C$1500,$C5,Input!$D$1:$D$1500,"R")/COUNTIFS(Input!$B$1:$B$1500,E$17,Input!$C$1:$C$1500,$C5)</f>
        <v>#DIV/0!</v>
      </c>
      <c r="Y5" s="3" t="e">
        <f>COUNTIFS(Input!$B$1:$B$1500,F$17,Input!$C$1:$C$1500,$C5,Input!$D$1:$D$1500,"R")/COUNTIFS(Input!$B$1:$B$1500,F$17,Input!$C$1:$C$1500,$C5)</f>
        <v>#DIV/0!</v>
      </c>
      <c r="Z5" s="3" t="e">
        <f>COUNTIFS(Input!$B$1:$B$1500,G$17,Input!$C$1:$C$1500,$C5,Input!$D$1:$D$1500,"R")/COUNTIFS(Input!$B$1:$B$1500,G$17,Input!$C$1:$C$1500,$C5)</f>
        <v>#DIV/0!</v>
      </c>
      <c r="AA5" s="3" t="e">
        <f>COUNTIFS(Input!$B$1:$B$1500,H$17,Input!$C$1:$C$1500,$C5,Input!$D$1:$D$1500,"R")/COUNTIFS(Input!$B$1:$B$1500,H$17,Input!$C$1:$C$1500,$C5)</f>
        <v>#DIV/0!</v>
      </c>
      <c r="AB5" s="3">
        <f>COUNTIFS(Input!$B$1:$B$1500,I$17,Input!$C$1:$C$1500,$C5,Input!$D$1:$D$1500,"R")/COUNTIFS(Input!$B$1:$B$1500,I$17,Input!$C$1:$C$1500,$C5)</f>
        <v>0</v>
      </c>
      <c r="AC5" s="3" t="e">
        <f>COUNTIFS(Input!$B$1:$B$1500,J$17,Input!$C$1:$C$1500,$C5,Input!$D$1:$D$1500,"R")/COUNTIFS(Input!$B$1:$B$1500,J$17,Input!$C$1:$C$1500,$C5)</f>
        <v>#DIV/0!</v>
      </c>
      <c r="AD5" s="3" t="e">
        <f>COUNTIFS(Input!$B$1:$B$1500,K$17,Input!$C$1:$C$1500,$C5,Input!$D$1:$D$1500,"R")/COUNTIFS(Input!$B$1:$B$1500,K$17,Input!$C$1:$C$1500,$C5)</f>
        <v>#DIV/0!</v>
      </c>
      <c r="AE5" s="3">
        <f>COUNTIFS(Input!$B$1:$B$1500,L$17,Input!$C$1:$C$1500,$C5,Input!$D$1:$D$1500,"R")/COUNTIFS(Input!$B$1:$B$1500,L$17,Input!$C$1:$C$1500,$C5)</f>
        <v>0</v>
      </c>
      <c r="AF5" s="3">
        <f>COUNTIFS(Input!$B$1:$B$1500,M$17,Input!$C$1:$C$1500,$C5,Input!$D$1:$D$1500,"R")/COUNTIFS(Input!$B$1:$B$1500,M$17,Input!$C$1:$C$1500,$C5)</f>
        <v>0</v>
      </c>
      <c r="AG5" s="3">
        <f>COUNTIFS(Input!$B$1:$B$1500,N$17,Input!$C$1:$C$1500,$C5,Input!$D$1:$D$1500,"R")/COUNTIFS(Input!$B$1:$B$1500,N$17,Input!$C$1:$C$1500,$C5)</f>
        <v>0</v>
      </c>
      <c r="AH5" s="3">
        <f>COUNTIFS(Input!$B$1:$B$1500,O$17,Input!$C$1:$C$1500,$C5,Input!$D$1:$D$1500,"R")/COUNTIFS(Input!$B$1:$B$1500,O$17,Input!$C$1:$C$1500,$C5)</f>
        <v>0</v>
      </c>
      <c r="AI5" s="3">
        <f>COUNTIFS(Input!$B$1:$B$1500,P$17,Input!$C$1:$C$1500,$C5,Input!$D$1:$D$1500,"R")/COUNTIFS(Input!$B$1:$B$1500,P$17,Input!$C$1:$C$1500,$C5)</f>
        <v>0</v>
      </c>
      <c r="AJ5" s="3">
        <f>COUNTIFS(Input!$B$1:$B$1500,Q$17,Input!$C$1:$C$1500,$C5,Input!$D$1:$D$1500,"R")/COUNTIFS(Input!$B$1:$B$1500,Q$17,Input!$C$1:$C$1500,$C5)</f>
        <v>0</v>
      </c>
      <c r="AK5" s="3">
        <f>COUNTIFS(Input!$B$1:$B$1500,R$17,Input!$C$1:$C$1500,$C5,Input!$D$1:$D$1500,"R")/COUNTIFS(Input!$B$1:$B$1500,R$17,Input!$C$1:$C$1500,$C5)</f>
        <v>0</v>
      </c>
      <c r="AL5" s="3">
        <f>COUNTIFS(Input!$B$1:$B$1500,S$17,Input!$C$1:$C$1500,$C5,Input!$D$1:$D$1500,"R")/COUNTIFS(Input!$B$1:$B$1500,S$17,Input!$C$1:$C$1500,$C5)</f>
        <v>0</v>
      </c>
      <c r="AM5" s="3" t="e">
        <f>COUNTIFS(Input!$B$1:$B$1500,T$17,Input!$C$1:$C$1500,$C5,Input!$D$1:$D$1500,"R")/COUNTIFS(Input!$B$1:$B$1500,T$17,Input!$C$1:$C$1500,$C5)</f>
        <v>#DIV/0!</v>
      </c>
      <c r="AN5" s="3">
        <f>COUNTIFS(Input!$B$1:$B$1500,U$17,Input!$C$1:$C$1500,$C5,Input!$D$1:$D$1500,"R")/COUNTIFS(Input!$B$1:$B$1500,U$17,Input!$C$1:$C$1500,$C5)</f>
        <v>0</v>
      </c>
      <c r="AO5" s="3">
        <f>COUNTIFS(Input!$B$1:$B$1500,V$17,Input!$C$1:$C$1500,$C5,Input!$D$1:$D$1500,"R")/COUNTIFS(Input!$B$1:$B$1500,V$17,Input!$C$1:$C$1500,$C5)</f>
        <v>0</v>
      </c>
    </row>
    <row r="6" spans="1:41" s="2" customFormat="1" ht="22" customHeight="1">
      <c r="C6" s="5" t="s">
        <v>1022</v>
      </c>
      <c r="D6" s="6"/>
      <c r="E6" s="6"/>
      <c r="F6" s="6"/>
      <c r="G6" s="6"/>
      <c r="H6" s="6"/>
      <c r="I6" s="6" t="str">
        <f>COUNTIFS(Input!$B$1:$B$1500,I$17,Input!$C$1:$C$1500,$C6,Input!$D$1:$D$1500,"R")&amp;"/"&amp;COUNTIFS(Input!$B$1:$B$1500,I$17,Input!$C$1:$C$1500,$C6)</f>
        <v>0/10</v>
      </c>
      <c r="J6" s="6"/>
      <c r="K6" s="6"/>
      <c r="L6" s="6" t="str">
        <f>COUNTIFS(Input!$B$1:$B$1500,L$17,Input!$C$1:$C$1500,$C6,Input!$D$1:$D$1500,"R")&amp;"/"&amp;COUNTIFS(Input!$B$1:$B$1500,L$17,Input!$C$1:$C$1500,$C6)</f>
        <v>0/13</v>
      </c>
      <c r="M6" s="6" t="str">
        <f>COUNTIFS(Input!$B$1:$B$1500,M$17,Input!$C$1:$C$1500,$C6,Input!$D$1:$D$1500,"R")&amp;"/"&amp;COUNTIFS(Input!$B$1:$B$1500,M$17,Input!$C$1:$C$1500,$C6)</f>
        <v>0/12</v>
      </c>
      <c r="N6" s="6" t="str">
        <f>COUNTIFS(Input!$B$1:$B$1500,N$17,Input!$C$1:$C$1500,$C6,Input!$D$1:$D$1500,"R")&amp;"/"&amp;COUNTIFS(Input!$B$1:$B$1500,N$17,Input!$C$1:$C$1500,$C6)</f>
        <v>0/8</v>
      </c>
      <c r="O6" s="6" t="str">
        <f>COUNTIFS(Input!$B$1:$B$1500,O$17,Input!$C$1:$C$1500,$C6,Input!$D$1:$D$1500,"R")&amp;"/"&amp;COUNTIFS(Input!$B$1:$B$1500,O$17,Input!$C$1:$C$1500,$C6)</f>
        <v>0/9</v>
      </c>
      <c r="P6" s="6" t="str">
        <f>COUNTIFS(Input!$B$1:$B$1500,P$17,Input!$C$1:$C$1500,$C6,Input!$D$1:$D$1500,"R")&amp;"/"&amp;COUNTIFS(Input!$B$1:$B$1500,P$17,Input!$C$1:$C$1500,$C6)</f>
        <v>0/5</v>
      </c>
      <c r="Q6" s="6" t="str">
        <f>COUNTIFS(Input!$B$1:$B$1500,Q$17,Input!$C$1:$C$1500,$C6,Input!$D$1:$D$1500,"R")&amp;"/"&amp;COUNTIFS(Input!$B$1:$B$1500,Q$17,Input!$C$1:$C$1500,$C6)</f>
        <v>0/4</v>
      </c>
      <c r="R6" s="6" t="str">
        <f>COUNTIFS(Input!$B$1:$B$1500,R$17,Input!$C$1:$C$1500,$C6,Input!$D$1:$D$1500,"R")&amp;"/"&amp;COUNTIFS(Input!$B$1:$B$1500,R$17,Input!$C$1:$C$1500,$C6)</f>
        <v>0/4</v>
      </c>
      <c r="S6" s="6" t="str">
        <f>COUNTIFS(Input!$B$1:$B$1500,S$17,Input!$C$1:$C$1500,$C6,Input!$D$1:$D$1500,"R")&amp;"/"&amp;COUNTIFS(Input!$B$1:$B$1500,S$17,Input!$C$1:$C$1500,$C6)</f>
        <v>0/5</v>
      </c>
      <c r="T6" s="6"/>
      <c r="U6" s="6" t="str">
        <f>COUNTIFS(Input!$B$1:$B$1500,U$17,Input!$C$1:$C$1500,$C6,Input!$D$1:$D$1500,"R")&amp;"/"&amp;COUNTIFS(Input!$B$1:$B$1500,U$17,Input!$C$1:$C$1500,$C6)</f>
        <v>0/6</v>
      </c>
      <c r="V6" s="6" t="str">
        <f>COUNTIFS(Input!$B$1:$B$1500,V$17,Input!$C$1:$C$1500,$C6,Input!$D$1:$D$1500,"R")&amp;"/"&amp;COUNTIFS(Input!$B$1:$B$1500,V$17,Input!$C$1:$C$1500,$C6)</f>
        <v>0/11</v>
      </c>
      <c r="W6" s="3" t="e">
        <f>COUNTIFS(Input!$B$1:$B$1500,D$17,Input!$C$1:$C$1500,$C6,Input!$D$1:$D$1500,"R")/COUNTIFS(Input!$B$1:$B$1500,D$17,Input!$C$1:$C$1500,$C6)</f>
        <v>#DIV/0!</v>
      </c>
      <c r="X6" s="3" t="e">
        <f>COUNTIFS(Input!$B$1:$B$1500,E$17,Input!$C$1:$C$1500,$C6,Input!$D$1:$D$1500,"R")/COUNTIFS(Input!$B$1:$B$1500,E$17,Input!$C$1:$C$1500,$C6)</f>
        <v>#DIV/0!</v>
      </c>
      <c r="Y6" s="3" t="e">
        <f>COUNTIFS(Input!$B$1:$B$1500,F$17,Input!$C$1:$C$1500,$C6,Input!$D$1:$D$1500,"R")/COUNTIFS(Input!$B$1:$B$1500,F$17,Input!$C$1:$C$1500,$C6)</f>
        <v>#DIV/0!</v>
      </c>
      <c r="Z6" s="3" t="e">
        <f>COUNTIFS(Input!$B$1:$B$1500,G$17,Input!$C$1:$C$1500,$C6,Input!$D$1:$D$1500,"R")/COUNTIFS(Input!$B$1:$B$1500,G$17,Input!$C$1:$C$1500,$C6)</f>
        <v>#DIV/0!</v>
      </c>
      <c r="AA6" s="3" t="e">
        <f>COUNTIFS(Input!$B$1:$B$1500,H$17,Input!$C$1:$C$1500,$C6,Input!$D$1:$D$1500,"R")/COUNTIFS(Input!$B$1:$B$1500,H$17,Input!$C$1:$C$1500,$C6)</f>
        <v>#DIV/0!</v>
      </c>
      <c r="AB6" s="3">
        <f>COUNTIFS(Input!$B$1:$B$1500,I$17,Input!$C$1:$C$1500,$C6,Input!$D$1:$D$1500,"R")/COUNTIFS(Input!$B$1:$B$1500,I$17,Input!$C$1:$C$1500,$C6)</f>
        <v>0</v>
      </c>
      <c r="AC6" s="3" t="e">
        <f>COUNTIFS(Input!$B$1:$B$1500,J$17,Input!$C$1:$C$1500,$C6,Input!$D$1:$D$1500,"R")/COUNTIFS(Input!$B$1:$B$1500,J$17,Input!$C$1:$C$1500,$C6)</f>
        <v>#DIV/0!</v>
      </c>
      <c r="AD6" s="3" t="e">
        <f>COUNTIFS(Input!$B$1:$B$1500,K$17,Input!$C$1:$C$1500,$C6,Input!$D$1:$D$1500,"R")/COUNTIFS(Input!$B$1:$B$1500,K$17,Input!$C$1:$C$1500,$C6)</f>
        <v>#DIV/0!</v>
      </c>
      <c r="AE6" s="3">
        <f>COUNTIFS(Input!$B$1:$B$1500,L$17,Input!$C$1:$C$1500,$C6,Input!$D$1:$D$1500,"R")/COUNTIFS(Input!$B$1:$B$1500,L$17,Input!$C$1:$C$1500,$C6)</f>
        <v>0</v>
      </c>
      <c r="AF6" s="3">
        <f>COUNTIFS(Input!$B$1:$B$1500,M$17,Input!$C$1:$C$1500,$C6,Input!$D$1:$D$1500,"R")/COUNTIFS(Input!$B$1:$B$1500,M$17,Input!$C$1:$C$1500,$C6)</f>
        <v>0</v>
      </c>
      <c r="AG6" s="3">
        <f>COUNTIFS(Input!$B$1:$B$1500,N$17,Input!$C$1:$C$1500,$C6,Input!$D$1:$D$1500,"R")/COUNTIFS(Input!$B$1:$B$1500,N$17,Input!$C$1:$C$1500,$C6)</f>
        <v>0</v>
      </c>
      <c r="AH6" s="3">
        <f>COUNTIFS(Input!$B$1:$B$1500,O$17,Input!$C$1:$C$1500,$C6,Input!$D$1:$D$1500,"R")/COUNTIFS(Input!$B$1:$B$1500,O$17,Input!$C$1:$C$1500,$C6)</f>
        <v>0</v>
      </c>
      <c r="AI6" s="3">
        <f>COUNTIFS(Input!$B$1:$B$1500,P$17,Input!$C$1:$C$1500,$C6,Input!$D$1:$D$1500,"R")/COUNTIFS(Input!$B$1:$B$1500,P$17,Input!$C$1:$C$1500,$C6)</f>
        <v>0</v>
      </c>
      <c r="AJ6" s="3">
        <f>COUNTIFS(Input!$B$1:$B$1500,Q$17,Input!$C$1:$C$1500,$C6,Input!$D$1:$D$1500,"R")/COUNTIFS(Input!$B$1:$B$1500,Q$17,Input!$C$1:$C$1500,$C6)</f>
        <v>0</v>
      </c>
      <c r="AK6" s="3">
        <f>COUNTIFS(Input!$B$1:$B$1500,R$17,Input!$C$1:$C$1500,$C6,Input!$D$1:$D$1500,"R")/COUNTIFS(Input!$B$1:$B$1500,R$17,Input!$C$1:$C$1500,$C6)</f>
        <v>0</v>
      </c>
      <c r="AL6" s="3">
        <f>COUNTIFS(Input!$B$1:$B$1500,S$17,Input!$C$1:$C$1500,$C6,Input!$D$1:$D$1500,"R")/COUNTIFS(Input!$B$1:$B$1500,S$17,Input!$C$1:$C$1500,$C6)</f>
        <v>0</v>
      </c>
      <c r="AM6" s="3" t="e">
        <f>COUNTIFS(Input!$B$1:$B$1500,T$17,Input!$C$1:$C$1500,$C6,Input!$D$1:$D$1500,"R")/COUNTIFS(Input!$B$1:$B$1500,T$17,Input!$C$1:$C$1500,$C6)</f>
        <v>#DIV/0!</v>
      </c>
      <c r="AN6" s="3">
        <f>COUNTIFS(Input!$B$1:$B$1500,U$17,Input!$C$1:$C$1500,$C6,Input!$D$1:$D$1500,"R")/COUNTIFS(Input!$B$1:$B$1500,U$17,Input!$C$1:$C$1500,$C6)</f>
        <v>0</v>
      </c>
      <c r="AO6" s="3">
        <f>COUNTIFS(Input!$B$1:$B$1500,V$17,Input!$C$1:$C$1500,$C6,Input!$D$1:$D$1500,"R")/COUNTIFS(Input!$B$1:$B$1500,V$17,Input!$C$1:$C$1500,$C6)</f>
        <v>0</v>
      </c>
    </row>
    <row r="7" spans="1:41" s="2" customFormat="1" ht="22" customHeight="1">
      <c r="C7" s="5" t="s">
        <v>938</v>
      </c>
      <c r="D7" s="6"/>
      <c r="E7" s="6"/>
      <c r="F7" s="6"/>
      <c r="G7" s="6" t="str">
        <f>COUNTIFS(Input!$B$1:$B$1500,G$17,Input!$C$1:$C$1500,$C7,Input!$D$1:$D$1500,"R")&amp;"/"&amp;COUNTIFS(Input!$B$1:$B$1500,G$17,Input!$C$1:$C$1500,$C7)</f>
        <v>0/2</v>
      </c>
      <c r="H7" s="6" t="str">
        <f>COUNTIFS(Input!$B$1:$B$1500,H$17,Input!$C$1:$C$1500,$C7,Input!$D$1:$D$1500,"R")&amp;"/"&amp;COUNTIFS(Input!$B$1:$B$1500,H$17,Input!$C$1:$C$1500,$C7)</f>
        <v>0/1</v>
      </c>
      <c r="I7" s="6" t="str">
        <f>COUNTIFS(Input!$B$1:$B$1500,I$17,Input!$C$1:$C$1500,$C7,Input!$D$1:$D$1500,"R")&amp;"/"&amp;COUNTIFS(Input!$B$1:$B$1500,I$17,Input!$C$1:$C$1500,$C7)</f>
        <v>0/6</v>
      </c>
      <c r="J7" s="6"/>
      <c r="K7" s="6"/>
      <c r="L7" s="6" t="str">
        <f>COUNTIFS(Input!$B$1:$B$1500,L$17,Input!$C$1:$C$1500,$C7,Input!$D$1:$D$1500,"R")&amp;"/"&amp;COUNTIFS(Input!$B$1:$B$1500,L$17,Input!$C$1:$C$1500,$C7)</f>
        <v>0/7</v>
      </c>
      <c r="M7" s="6" t="str">
        <f>COUNTIFS(Input!$B$1:$B$1500,M$17,Input!$C$1:$C$1500,$C7,Input!$D$1:$D$1500,"R")&amp;"/"&amp;COUNTIFS(Input!$B$1:$B$1500,M$17,Input!$C$1:$C$1500,$C7)</f>
        <v>0/8</v>
      </c>
      <c r="N7" s="6" t="str">
        <f>COUNTIFS(Input!$B$1:$B$1500,N$17,Input!$C$1:$C$1500,$C7,Input!$D$1:$D$1500,"R")&amp;"/"&amp;COUNTIFS(Input!$B$1:$B$1500,N$17,Input!$C$1:$C$1500,$C7)</f>
        <v>0/7</v>
      </c>
      <c r="O7" s="6" t="str">
        <f>COUNTIFS(Input!$B$1:$B$1500,O$17,Input!$C$1:$C$1500,$C7,Input!$D$1:$D$1500,"R")&amp;"/"&amp;COUNTIFS(Input!$B$1:$B$1500,O$17,Input!$C$1:$C$1500,$C7)</f>
        <v>0/7</v>
      </c>
      <c r="P7" s="6" t="str">
        <f>COUNTIFS(Input!$B$1:$B$1500,P$17,Input!$C$1:$C$1500,$C7,Input!$D$1:$D$1500,"R")&amp;"/"&amp;COUNTIFS(Input!$B$1:$B$1500,P$17,Input!$C$1:$C$1500,$C7)</f>
        <v>0/3</v>
      </c>
      <c r="Q7" s="6" t="str">
        <f>COUNTIFS(Input!$B$1:$B$1500,Q$17,Input!$C$1:$C$1500,$C7,Input!$D$1:$D$1500,"R")&amp;"/"&amp;COUNTIFS(Input!$B$1:$B$1500,Q$17,Input!$C$1:$C$1500,$C7)</f>
        <v>0/1</v>
      </c>
      <c r="R7" s="6" t="str">
        <f>COUNTIFS(Input!$B$1:$B$1500,R$17,Input!$C$1:$C$1500,$C7,Input!$D$1:$D$1500,"R")&amp;"/"&amp;COUNTIFS(Input!$B$1:$B$1500,R$17,Input!$C$1:$C$1500,$C7)</f>
        <v>0/5</v>
      </c>
      <c r="S7" s="6" t="str">
        <f>COUNTIFS(Input!$B$1:$B$1500,S$17,Input!$C$1:$C$1500,$C7,Input!$D$1:$D$1500,"R")&amp;"/"&amp;COUNTIFS(Input!$B$1:$B$1500,S$17,Input!$C$1:$C$1500,$C7)</f>
        <v>0/7</v>
      </c>
      <c r="T7" s="6"/>
      <c r="U7" s="6" t="str">
        <f>COUNTIFS(Input!$B$1:$B$1500,U$17,Input!$C$1:$C$1500,$C7,Input!$D$1:$D$1500,"R")&amp;"/"&amp;COUNTIFS(Input!$B$1:$B$1500,U$17,Input!$C$1:$C$1500,$C7)</f>
        <v>0/3</v>
      </c>
      <c r="V7" s="6" t="str">
        <f>COUNTIFS(Input!$B$1:$B$1500,V$17,Input!$C$1:$C$1500,$C7,Input!$D$1:$D$1500,"R")&amp;"/"&amp;COUNTIFS(Input!$B$1:$B$1500,V$17,Input!$C$1:$C$1500,$C7)</f>
        <v>0/13</v>
      </c>
      <c r="W7" s="3" t="e">
        <f>COUNTIFS(Input!$B$1:$B$1500,D$17,Input!$C$1:$C$1500,$C7,Input!$D$1:$D$1500,"R")/COUNTIFS(Input!$B$1:$B$1500,D$17,Input!$C$1:$C$1500,$C7)</f>
        <v>#DIV/0!</v>
      </c>
      <c r="X7" s="3" t="e">
        <f>COUNTIFS(Input!$B$1:$B$1500,E$17,Input!$C$1:$C$1500,$C7,Input!$D$1:$D$1500,"R")/COUNTIFS(Input!$B$1:$B$1500,E$17,Input!$C$1:$C$1500,$C7)</f>
        <v>#DIV/0!</v>
      </c>
      <c r="Y7" s="3" t="e">
        <f>COUNTIFS(Input!$B$1:$B$1500,F$17,Input!$C$1:$C$1500,$C7,Input!$D$1:$D$1500,"R")/COUNTIFS(Input!$B$1:$B$1500,F$17,Input!$C$1:$C$1500,$C7)</f>
        <v>#DIV/0!</v>
      </c>
      <c r="Z7" s="3">
        <f>COUNTIFS(Input!$B$1:$B$1500,G$17,Input!$C$1:$C$1500,$C7,Input!$D$1:$D$1500,"R")/COUNTIFS(Input!$B$1:$B$1500,G$17,Input!$C$1:$C$1500,$C7)</f>
        <v>0</v>
      </c>
      <c r="AA7" s="3">
        <f>COUNTIFS(Input!$B$1:$B$1500,H$17,Input!$C$1:$C$1500,$C7,Input!$D$1:$D$1500,"R")/COUNTIFS(Input!$B$1:$B$1500,H$17,Input!$C$1:$C$1500,$C7)</f>
        <v>0</v>
      </c>
      <c r="AB7" s="3">
        <f>COUNTIFS(Input!$B$1:$B$1500,I$17,Input!$C$1:$C$1500,$C7,Input!$D$1:$D$1500,"R")/COUNTIFS(Input!$B$1:$B$1500,I$17,Input!$C$1:$C$1500,$C7)</f>
        <v>0</v>
      </c>
      <c r="AC7" s="3" t="e">
        <f>COUNTIFS(Input!$B$1:$B$1500,J$17,Input!$C$1:$C$1500,$C7,Input!$D$1:$D$1500,"R")/COUNTIFS(Input!$B$1:$B$1500,J$17,Input!$C$1:$C$1500,$C7)</f>
        <v>#DIV/0!</v>
      </c>
      <c r="AD7" s="3" t="e">
        <f>COUNTIFS(Input!$B$1:$B$1500,K$17,Input!$C$1:$C$1500,$C7,Input!$D$1:$D$1500,"R")/COUNTIFS(Input!$B$1:$B$1500,K$17,Input!$C$1:$C$1500,$C7)</f>
        <v>#DIV/0!</v>
      </c>
      <c r="AE7" s="3">
        <f>COUNTIFS(Input!$B$1:$B$1500,L$17,Input!$C$1:$C$1500,$C7,Input!$D$1:$D$1500,"R")/COUNTIFS(Input!$B$1:$B$1500,L$17,Input!$C$1:$C$1500,$C7)</f>
        <v>0</v>
      </c>
      <c r="AF7" s="3">
        <f>COUNTIFS(Input!$B$1:$B$1500,M$17,Input!$C$1:$C$1500,$C7,Input!$D$1:$D$1500,"R")/COUNTIFS(Input!$B$1:$B$1500,M$17,Input!$C$1:$C$1500,$C7)</f>
        <v>0</v>
      </c>
      <c r="AG7" s="3">
        <f>COUNTIFS(Input!$B$1:$B$1500,N$17,Input!$C$1:$C$1500,$C7,Input!$D$1:$D$1500,"R")/COUNTIFS(Input!$B$1:$B$1500,N$17,Input!$C$1:$C$1500,$C7)</f>
        <v>0</v>
      </c>
      <c r="AH7" s="3">
        <f>COUNTIFS(Input!$B$1:$B$1500,O$17,Input!$C$1:$C$1500,$C7,Input!$D$1:$D$1500,"R")/COUNTIFS(Input!$B$1:$B$1500,O$17,Input!$C$1:$C$1500,$C7)</f>
        <v>0</v>
      </c>
      <c r="AI7" s="3">
        <f>COUNTIFS(Input!$B$1:$B$1500,P$17,Input!$C$1:$C$1500,$C7,Input!$D$1:$D$1500,"R")/COUNTIFS(Input!$B$1:$B$1500,P$17,Input!$C$1:$C$1500,$C7)</f>
        <v>0</v>
      </c>
      <c r="AJ7" s="3">
        <f>COUNTIFS(Input!$B$1:$B$1500,Q$17,Input!$C$1:$C$1500,$C7,Input!$D$1:$D$1500,"R")/COUNTIFS(Input!$B$1:$B$1500,Q$17,Input!$C$1:$C$1500,$C7)</f>
        <v>0</v>
      </c>
      <c r="AK7" s="3">
        <f>COUNTIFS(Input!$B$1:$B$1500,R$17,Input!$C$1:$C$1500,$C7,Input!$D$1:$D$1500,"R")/COUNTIFS(Input!$B$1:$B$1500,R$17,Input!$C$1:$C$1500,$C7)</f>
        <v>0</v>
      </c>
      <c r="AL7" s="3">
        <f>COUNTIFS(Input!$B$1:$B$1500,S$17,Input!$C$1:$C$1500,$C7,Input!$D$1:$D$1500,"R")/COUNTIFS(Input!$B$1:$B$1500,S$17,Input!$C$1:$C$1500,$C7)</f>
        <v>0</v>
      </c>
      <c r="AM7" s="3" t="e">
        <f>COUNTIFS(Input!$B$1:$B$1500,T$17,Input!$C$1:$C$1500,$C7,Input!$D$1:$D$1500,"R")/COUNTIFS(Input!$B$1:$B$1500,T$17,Input!$C$1:$C$1500,$C7)</f>
        <v>#DIV/0!</v>
      </c>
      <c r="AN7" s="3">
        <f>COUNTIFS(Input!$B$1:$B$1500,U$17,Input!$C$1:$C$1500,$C7,Input!$D$1:$D$1500,"R")/COUNTIFS(Input!$B$1:$B$1500,U$17,Input!$C$1:$C$1500,$C7)</f>
        <v>0</v>
      </c>
      <c r="AO7" s="3">
        <f>COUNTIFS(Input!$B$1:$B$1500,V$17,Input!$C$1:$C$1500,$C7,Input!$D$1:$D$1500,"R")/COUNTIFS(Input!$B$1:$B$1500,V$17,Input!$C$1:$C$1500,$C7)</f>
        <v>0</v>
      </c>
    </row>
    <row r="8" spans="1:41" s="2" customFormat="1" ht="22" customHeight="1">
      <c r="C8" s="5" t="s">
        <v>870</v>
      </c>
      <c r="D8" s="6"/>
      <c r="E8" s="6"/>
      <c r="F8" s="6"/>
      <c r="G8" s="6" t="str">
        <f>COUNTIFS(Input!$B$1:$B$1500,G$17,Input!$C$1:$C$1500,$C8,Input!$D$1:$D$1500,"R")&amp;"/"&amp;COUNTIFS(Input!$B$1:$B$1500,G$17,Input!$C$1:$C$1500,$C8)</f>
        <v>0/1</v>
      </c>
      <c r="H8" s="6" t="str">
        <f>COUNTIFS(Input!$B$1:$B$1500,H$17,Input!$C$1:$C$1500,$C8,Input!$D$1:$D$1500,"R")&amp;"/"&amp;COUNTIFS(Input!$B$1:$B$1500,H$17,Input!$C$1:$C$1500,$C8)</f>
        <v>0/2</v>
      </c>
      <c r="I8" s="6" t="str">
        <f>COUNTIFS(Input!$B$1:$B$1500,I$17,Input!$C$1:$C$1500,$C8,Input!$D$1:$D$1500,"R")&amp;"/"&amp;COUNTIFS(Input!$B$1:$B$1500,I$17,Input!$C$1:$C$1500,$C8)</f>
        <v>0/6</v>
      </c>
      <c r="J8" s="6"/>
      <c r="K8" s="6"/>
      <c r="L8" s="6" t="str">
        <f>COUNTIFS(Input!$B$1:$B$1500,L$17,Input!$C$1:$C$1500,$C8,Input!$D$1:$D$1500,"R")&amp;"/"&amp;COUNTIFS(Input!$B$1:$B$1500,L$17,Input!$C$1:$C$1500,$C8)</f>
        <v>0/9</v>
      </c>
      <c r="M8" s="6" t="str">
        <f>COUNTIFS(Input!$B$1:$B$1500,M$17,Input!$C$1:$C$1500,$C8,Input!$D$1:$D$1500,"R")&amp;"/"&amp;COUNTIFS(Input!$B$1:$B$1500,M$17,Input!$C$1:$C$1500,$C8)</f>
        <v>0/6</v>
      </c>
      <c r="N8" s="6" t="str">
        <f>COUNTIFS(Input!$B$1:$B$1500,N$17,Input!$C$1:$C$1500,$C8,Input!$D$1:$D$1500,"R")&amp;"/"&amp;COUNTIFS(Input!$B$1:$B$1500,N$17,Input!$C$1:$C$1500,$C8)</f>
        <v>0/5</v>
      </c>
      <c r="O8" s="6" t="str">
        <f>COUNTIFS(Input!$B$1:$B$1500,O$17,Input!$C$1:$C$1500,$C8,Input!$D$1:$D$1500,"R")&amp;"/"&amp;COUNTIFS(Input!$B$1:$B$1500,O$17,Input!$C$1:$C$1500,$C8)</f>
        <v>0/4</v>
      </c>
      <c r="P8" s="6" t="str">
        <f>COUNTIFS(Input!$B$1:$B$1500,P$17,Input!$C$1:$C$1500,$C8,Input!$D$1:$D$1500,"R")&amp;"/"&amp;COUNTIFS(Input!$B$1:$B$1500,P$17,Input!$C$1:$C$1500,$C8)</f>
        <v>0/2</v>
      </c>
      <c r="Q8" s="6" t="str">
        <f>COUNTIFS(Input!$B$1:$B$1500,Q$17,Input!$C$1:$C$1500,$C8,Input!$D$1:$D$1500,"R")&amp;"/"&amp;COUNTIFS(Input!$B$1:$B$1500,Q$17,Input!$C$1:$C$1500,$C8)</f>
        <v>0/3</v>
      </c>
      <c r="R8" s="6" t="str">
        <f>COUNTIFS(Input!$B$1:$B$1500,R$17,Input!$C$1:$C$1500,$C8,Input!$D$1:$D$1500,"R")&amp;"/"&amp;COUNTIFS(Input!$B$1:$B$1500,R$17,Input!$C$1:$C$1500,$C8)</f>
        <v>0/5</v>
      </c>
      <c r="S8" s="6" t="str">
        <f>COUNTIFS(Input!$B$1:$B$1500,S$17,Input!$C$1:$C$1500,$C8,Input!$D$1:$D$1500,"R")&amp;"/"&amp;COUNTIFS(Input!$B$1:$B$1500,S$17,Input!$C$1:$C$1500,$C8)</f>
        <v>0/2</v>
      </c>
      <c r="T8" s="6"/>
      <c r="U8" s="6" t="str">
        <f>COUNTIFS(Input!$B$1:$B$1500,U$17,Input!$C$1:$C$1500,$C8,Input!$D$1:$D$1500,"R")&amp;"/"&amp;COUNTIFS(Input!$B$1:$B$1500,U$17,Input!$C$1:$C$1500,$C8)</f>
        <v>0/5</v>
      </c>
      <c r="V8" s="6" t="str">
        <f>COUNTIFS(Input!$B$1:$B$1500,V$17,Input!$C$1:$C$1500,$C8,Input!$D$1:$D$1500,"R")&amp;"/"&amp;COUNTIFS(Input!$B$1:$B$1500,V$17,Input!$C$1:$C$1500,$C8)</f>
        <v>0/5</v>
      </c>
      <c r="W8" s="3" t="e">
        <f>COUNTIFS(Input!$B$1:$B$1500,D$17,Input!$C$1:$C$1500,$C8,Input!$D$1:$D$1500,"R")/COUNTIFS(Input!$B$1:$B$1500,D$17,Input!$C$1:$C$1500,$C8)</f>
        <v>#DIV/0!</v>
      </c>
      <c r="X8" s="3" t="e">
        <f>COUNTIFS(Input!$B$1:$B$1500,E$17,Input!$C$1:$C$1500,$C8,Input!$D$1:$D$1500,"R")/COUNTIFS(Input!$B$1:$B$1500,E$17,Input!$C$1:$C$1500,$C8)</f>
        <v>#DIV/0!</v>
      </c>
      <c r="Y8" s="3" t="e">
        <f>COUNTIFS(Input!$B$1:$B$1500,F$17,Input!$C$1:$C$1500,$C8,Input!$D$1:$D$1500,"R")/COUNTIFS(Input!$B$1:$B$1500,F$17,Input!$C$1:$C$1500,$C8)</f>
        <v>#DIV/0!</v>
      </c>
      <c r="Z8" s="3">
        <f>COUNTIFS(Input!$B$1:$B$1500,G$17,Input!$C$1:$C$1500,$C8,Input!$D$1:$D$1500,"R")/COUNTIFS(Input!$B$1:$B$1500,G$17,Input!$C$1:$C$1500,$C8)</f>
        <v>0</v>
      </c>
      <c r="AA8" s="3">
        <f>COUNTIFS(Input!$B$1:$B$1500,H$17,Input!$C$1:$C$1500,$C8,Input!$D$1:$D$1500,"R")/COUNTIFS(Input!$B$1:$B$1500,H$17,Input!$C$1:$C$1500,$C8)</f>
        <v>0</v>
      </c>
      <c r="AB8" s="3">
        <f>COUNTIFS(Input!$B$1:$B$1500,I$17,Input!$C$1:$C$1500,$C8,Input!$D$1:$D$1500,"R")/COUNTIFS(Input!$B$1:$B$1500,I$17,Input!$C$1:$C$1500,$C8)</f>
        <v>0</v>
      </c>
      <c r="AC8" s="3" t="e">
        <f>COUNTIFS(Input!$B$1:$B$1500,J$17,Input!$C$1:$C$1500,$C8,Input!$D$1:$D$1500,"R")/COUNTIFS(Input!$B$1:$B$1500,J$17,Input!$C$1:$C$1500,$C8)</f>
        <v>#DIV/0!</v>
      </c>
      <c r="AD8" s="3" t="e">
        <f>COUNTIFS(Input!$B$1:$B$1500,K$17,Input!$C$1:$C$1500,$C8,Input!$D$1:$D$1500,"R")/COUNTIFS(Input!$B$1:$B$1500,K$17,Input!$C$1:$C$1500,$C8)</f>
        <v>#DIV/0!</v>
      </c>
      <c r="AE8" s="3">
        <f>COUNTIFS(Input!$B$1:$B$1500,L$17,Input!$C$1:$C$1500,$C8,Input!$D$1:$D$1500,"R")/COUNTIFS(Input!$B$1:$B$1500,L$17,Input!$C$1:$C$1500,$C8)</f>
        <v>0</v>
      </c>
      <c r="AF8" s="3">
        <f>COUNTIFS(Input!$B$1:$B$1500,M$17,Input!$C$1:$C$1500,$C8,Input!$D$1:$D$1500,"R")/COUNTIFS(Input!$B$1:$B$1500,M$17,Input!$C$1:$C$1500,$C8)</f>
        <v>0</v>
      </c>
      <c r="AG8" s="3">
        <f>COUNTIFS(Input!$B$1:$B$1500,N$17,Input!$C$1:$C$1500,$C8,Input!$D$1:$D$1500,"R")/COUNTIFS(Input!$B$1:$B$1500,N$17,Input!$C$1:$C$1500,$C8)</f>
        <v>0</v>
      </c>
      <c r="AH8" s="3">
        <f>COUNTIFS(Input!$B$1:$B$1500,O$17,Input!$C$1:$C$1500,$C8,Input!$D$1:$D$1500,"R")/COUNTIFS(Input!$B$1:$B$1500,O$17,Input!$C$1:$C$1500,$C8)</f>
        <v>0</v>
      </c>
      <c r="AI8" s="3">
        <f>COUNTIFS(Input!$B$1:$B$1500,P$17,Input!$C$1:$C$1500,$C8,Input!$D$1:$D$1500,"R")/COUNTIFS(Input!$B$1:$B$1500,P$17,Input!$C$1:$C$1500,$C8)</f>
        <v>0</v>
      </c>
      <c r="AJ8" s="3">
        <f>COUNTIFS(Input!$B$1:$B$1500,Q$17,Input!$C$1:$C$1500,$C8,Input!$D$1:$D$1500,"R")/COUNTIFS(Input!$B$1:$B$1500,Q$17,Input!$C$1:$C$1500,$C8)</f>
        <v>0</v>
      </c>
      <c r="AK8" s="3">
        <f>COUNTIFS(Input!$B$1:$B$1500,R$17,Input!$C$1:$C$1500,$C8,Input!$D$1:$D$1500,"R")/COUNTIFS(Input!$B$1:$B$1500,R$17,Input!$C$1:$C$1500,$C8)</f>
        <v>0</v>
      </c>
      <c r="AL8" s="3">
        <f>COUNTIFS(Input!$B$1:$B$1500,S$17,Input!$C$1:$C$1500,$C8,Input!$D$1:$D$1500,"R")/COUNTIFS(Input!$B$1:$B$1500,S$17,Input!$C$1:$C$1500,$C8)</f>
        <v>0</v>
      </c>
      <c r="AM8" s="3" t="e">
        <f>COUNTIFS(Input!$B$1:$B$1500,T$17,Input!$C$1:$C$1500,$C8,Input!$D$1:$D$1500,"R")/COUNTIFS(Input!$B$1:$B$1500,T$17,Input!$C$1:$C$1500,$C8)</f>
        <v>#DIV/0!</v>
      </c>
      <c r="AN8" s="3">
        <f>COUNTIFS(Input!$B$1:$B$1500,U$17,Input!$C$1:$C$1500,$C8,Input!$D$1:$D$1500,"R")/COUNTIFS(Input!$B$1:$B$1500,U$17,Input!$C$1:$C$1500,$C8)</f>
        <v>0</v>
      </c>
      <c r="AO8" s="3">
        <f>COUNTIFS(Input!$B$1:$B$1500,V$17,Input!$C$1:$C$1500,$C8,Input!$D$1:$D$1500,"R")/COUNTIFS(Input!$B$1:$B$1500,V$17,Input!$C$1:$C$1500,$C8)</f>
        <v>0</v>
      </c>
    </row>
    <row r="9" spans="1:41" s="2" customFormat="1" ht="22" customHeight="1">
      <c r="C9" s="5" t="s">
        <v>747</v>
      </c>
      <c r="D9" s="6"/>
      <c r="E9" s="6"/>
      <c r="F9" s="6"/>
      <c r="G9" s="6" t="str">
        <f>COUNTIFS(Input!$B$1:$B$1500,G$17,Input!$C$1:$C$1500,$C9,Input!$D$1:$D$1500,"R")&amp;"/"&amp;COUNTIFS(Input!$B$1:$B$1500,G$17,Input!$C$1:$C$1500,$C9)</f>
        <v>0/1</v>
      </c>
      <c r="H9" s="6" t="str">
        <f>COUNTIFS(Input!$B$1:$B$1500,H$17,Input!$C$1:$C$1500,$C9,Input!$D$1:$D$1500,"R")&amp;"/"&amp;COUNTIFS(Input!$B$1:$B$1500,H$17,Input!$C$1:$C$1500,$C9)</f>
        <v>0/4</v>
      </c>
      <c r="I9" s="6" t="str">
        <f>COUNTIFS(Input!$B$1:$B$1500,I$17,Input!$C$1:$C$1500,$C9,Input!$D$1:$D$1500,"R")&amp;"/"&amp;COUNTIFS(Input!$B$1:$B$1500,I$17,Input!$C$1:$C$1500,$C9)</f>
        <v>0/6</v>
      </c>
      <c r="J9" s="6" t="str">
        <f>COUNTIFS(Input!$B$1:$B$1500,J$17,Input!$C$1:$C$1500,$C9,Input!$D$1:$D$1500,"R")&amp;"/"&amp;COUNTIFS(Input!$B$1:$B$1500,J$17,Input!$C$1:$C$1500,$C9)</f>
        <v>0/1</v>
      </c>
      <c r="K9" s="6" t="str">
        <f>COUNTIFS(Input!$B$1:$B$1500,K$17,Input!$C$1:$C$1500,$C9,Input!$D$1:$D$1500,"R")&amp;"/"&amp;COUNTIFS(Input!$B$1:$B$1500,K$17,Input!$C$1:$C$1500,$C9)</f>
        <v>0/5</v>
      </c>
      <c r="L9" s="6" t="str">
        <f>COUNTIFS(Input!$B$1:$B$1500,L$17,Input!$C$1:$C$1500,$C9,Input!$D$1:$D$1500,"R")&amp;"/"&amp;COUNTIFS(Input!$B$1:$B$1500,L$17,Input!$C$1:$C$1500,$C9)</f>
        <v>0/10</v>
      </c>
      <c r="M9" s="6" t="str">
        <f>COUNTIFS(Input!$B$1:$B$1500,M$17,Input!$C$1:$C$1500,$C9,Input!$D$1:$D$1500,"R")&amp;"/"&amp;COUNTIFS(Input!$B$1:$B$1500,M$17,Input!$C$1:$C$1500,$C9)</f>
        <v>0/19</v>
      </c>
      <c r="N9" s="6" t="str">
        <f>COUNTIFS(Input!$B$1:$B$1500,N$17,Input!$C$1:$C$1500,$C9,Input!$D$1:$D$1500,"R")&amp;"/"&amp;COUNTIFS(Input!$B$1:$B$1500,N$17,Input!$C$1:$C$1500,$C9)</f>
        <v>0/11</v>
      </c>
      <c r="O9" s="6" t="str">
        <f>COUNTIFS(Input!$B$1:$B$1500,O$17,Input!$C$1:$C$1500,$C9,Input!$D$1:$D$1500,"R")&amp;"/"&amp;COUNTIFS(Input!$B$1:$B$1500,O$17,Input!$C$1:$C$1500,$C9)</f>
        <v>0/8</v>
      </c>
      <c r="P9" s="6" t="str">
        <f>COUNTIFS(Input!$B$1:$B$1500,P$17,Input!$C$1:$C$1500,$C9,Input!$D$1:$D$1500,"R")&amp;"/"&amp;COUNTIFS(Input!$B$1:$B$1500,P$17,Input!$C$1:$C$1500,$C9)</f>
        <v>0/5</v>
      </c>
      <c r="Q9" s="6" t="str">
        <f>COUNTIFS(Input!$B$1:$B$1500,Q$17,Input!$C$1:$C$1500,$C9,Input!$D$1:$D$1500,"R")&amp;"/"&amp;COUNTIFS(Input!$B$1:$B$1500,Q$17,Input!$C$1:$C$1500,$C9)</f>
        <v>0/5</v>
      </c>
      <c r="R9" s="6" t="str">
        <f>COUNTIFS(Input!$B$1:$B$1500,R$17,Input!$C$1:$C$1500,$C9,Input!$D$1:$D$1500,"R")&amp;"/"&amp;COUNTIFS(Input!$B$1:$B$1500,R$17,Input!$C$1:$C$1500,$C9)</f>
        <v>0/3</v>
      </c>
      <c r="S9" s="6" t="str">
        <f>COUNTIFS(Input!$B$1:$B$1500,S$17,Input!$C$1:$C$1500,$C9,Input!$D$1:$D$1500,"R")&amp;"/"&amp;COUNTIFS(Input!$B$1:$B$1500,S$17,Input!$C$1:$C$1500,$C9)</f>
        <v>0/3</v>
      </c>
      <c r="T9" s="6" t="str">
        <f>COUNTIFS(Input!$B$1:$B$1500,T$17,Input!$C$1:$C$1500,$C9,Input!$D$1:$D$1500,"R")&amp;"/"&amp;COUNTIFS(Input!$B$1:$B$1500,T$17,Input!$C$1:$C$1500,$C9)</f>
        <v>0/3</v>
      </c>
      <c r="U9" s="6" t="str">
        <f>COUNTIFS(Input!$B$1:$B$1500,U$17,Input!$C$1:$C$1500,$C9,Input!$D$1:$D$1500,"R")&amp;"/"&amp;COUNTIFS(Input!$B$1:$B$1500,U$17,Input!$C$1:$C$1500,$C9)</f>
        <v>0/8</v>
      </c>
      <c r="V9" s="6" t="str">
        <f>COUNTIFS(Input!$B$1:$B$1500,V$17,Input!$C$1:$C$1500,$C9,Input!$D$1:$D$1500,"R")&amp;"/"&amp;COUNTIFS(Input!$B$1:$B$1500,V$17,Input!$C$1:$C$1500,$C9)</f>
        <v>0/11</v>
      </c>
      <c r="W9" s="3" t="e">
        <f>COUNTIFS(Input!$B$1:$B$1500,D$17,Input!$C$1:$C$1500,$C9,Input!$D$1:$D$1500,"R")/COUNTIFS(Input!$B$1:$B$1500,D$17,Input!$C$1:$C$1500,$C9)</f>
        <v>#DIV/0!</v>
      </c>
      <c r="X9" s="3" t="e">
        <f>COUNTIFS(Input!$B$1:$B$1500,E$17,Input!$C$1:$C$1500,$C9,Input!$D$1:$D$1500,"R")/COUNTIFS(Input!$B$1:$B$1500,E$17,Input!$C$1:$C$1500,$C9)</f>
        <v>#DIV/0!</v>
      </c>
      <c r="Y9" s="3" t="e">
        <f>COUNTIFS(Input!$B$1:$B$1500,F$17,Input!$C$1:$C$1500,$C9,Input!$D$1:$D$1500,"R")/COUNTIFS(Input!$B$1:$B$1500,F$17,Input!$C$1:$C$1500,$C9)</f>
        <v>#DIV/0!</v>
      </c>
      <c r="Z9" s="3">
        <f>COUNTIFS(Input!$B$1:$B$1500,G$17,Input!$C$1:$C$1500,$C9,Input!$D$1:$D$1500,"R")/COUNTIFS(Input!$B$1:$B$1500,G$17,Input!$C$1:$C$1500,$C9)</f>
        <v>0</v>
      </c>
      <c r="AA9" s="3">
        <f>COUNTIFS(Input!$B$1:$B$1500,H$17,Input!$C$1:$C$1500,$C9,Input!$D$1:$D$1500,"R")/COUNTIFS(Input!$B$1:$B$1500,H$17,Input!$C$1:$C$1500,$C9)</f>
        <v>0</v>
      </c>
      <c r="AB9" s="3">
        <f>COUNTIFS(Input!$B$1:$B$1500,I$17,Input!$C$1:$C$1500,$C9,Input!$D$1:$D$1500,"R")/COUNTIFS(Input!$B$1:$B$1500,I$17,Input!$C$1:$C$1500,$C9)</f>
        <v>0</v>
      </c>
      <c r="AC9" s="3">
        <f>COUNTIFS(Input!$B$1:$B$1500,J$17,Input!$C$1:$C$1500,$C9,Input!$D$1:$D$1500,"R")/COUNTIFS(Input!$B$1:$B$1500,J$17,Input!$C$1:$C$1500,$C9)</f>
        <v>0</v>
      </c>
      <c r="AD9" s="3">
        <f>COUNTIFS(Input!$B$1:$B$1500,K$17,Input!$C$1:$C$1500,$C9,Input!$D$1:$D$1500,"R")/COUNTIFS(Input!$B$1:$B$1500,K$17,Input!$C$1:$C$1500,$C9)</f>
        <v>0</v>
      </c>
      <c r="AE9" s="3">
        <f>COUNTIFS(Input!$B$1:$B$1500,L$17,Input!$C$1:$C$1500,$C9,Input!$D$1:$D$1500,"R")/COUNTIFS(Input!$B$1:$B$1500,L$17,Input!$C$1:$C$1500,$C9)</f>
        <v>0</v>
      </c>
      <c r="AF9" s="3">
        <f>COUNTIFS(Input!$B$1:$B$1500,M$17,Input!$C$1:$C$1500,$C9,Input!$D$1:$D$1500,"R")/COUNTIFS(Input!$B$1:$B$1500,M$17,Input!$C$1:$C$1500,$C9)</f>
        <v>0</v>
      </c>
      <c r="AG9" s="3">
        <f>COUNTIFS(Input!$B$1:$B$1500,N$17,Input!$C$1:$C$1500,$C9,Input!$D$1:$D$1500,"R")/COUNTIFS(Input!$B$1:$B$1500,N$17,Input!$C$1:$C$1500,$C9)</f>
        <v>0</v>
      </c>
      <c r="AH9" s="3">
        <f>COUNTIFS(Input!$B$1:$B$1500,O$17,Input!$C$1:$C$1500,$C9,Input!$D$1:$D$1500,"R")/COUNTIFS(Input!$B$1:$B$1500,O$17,Input!$C$1:$C$1500,$C9)</f>
        <v>0</v>
      </c>
      <c r="AI9" s="3">
        <f>COUNTIFS(Input!$B$1:$B$1500,P$17,Input!$C$1:$C$1500,$C9,Input!$D$1:$D$1500,"R")/COUNTIFS(Input!$B$1:$B$1500,P$17,Input!$C$1:$C$1500,$C9)</f>
        <v>0</v>
      </c>
      <c r="AJ9" s="3">
        <f>COUNTIFS(Input!$B$1:$B$1500,Q$17,Input!$C$1:$C$1500,$C9,Input!$D$1:$D$1500,"R")/COUNTIFS(Input!$B$1:$B$1500,Q$17,Input!$C$1:$C$1500,$C9)</f>
        <v>0</v>
      </c>
      <c r="AK9" s="3">
        <f>COUNTIFS(Input!$B$1:$B$1500,R$17,Input!$C$1:$C$1500,$C9,Input!$D$1:$D$1500,"R")/COUNTIFS(Input!$B$1:$B$1500,R$17,Input!$C$1:$C$1500,$C9)</f>
        <v>0</v>
      </c>
      <c r="AL9" s="3">
        <f>COUNTIFS(Input!$B$1:$B$1500,S$17,Input!$C$1:$C$1500,$C9,Input!$D$1:$D$1500,"R")/COUNTIFS(Input!$B$1:$B$1500,S$17,Input!$C$1:$C$1500,$C9)</f>
        <v>0</v>
      </c>
      <c r="AM9" s="3">
        <f>COUNTIFS(Input!$B$1:$B$1500,T$17,Input!$C$1:$C$1500,$C9,Input!$D$1:$D$1500,"R")/COUNTIFS(Input!$B$1:$B$1500,T$17,Input!$C$1:$C$1500,$C9)</f>
        <v>0</v>
      </c>
      <c r="AN9" s="3">
        <f>COUNTIFS(Input!$B$1:$B$1500,U$17,Input!$C$1:$C$1500,$C9,Input!$D$1:$D$1500,"R")/COUNTIFS(Input!$B$1:$B$1500,U$17,Input!$C$1:$C$1500,$C9)</f>
        <v>0</v>
      </c>
      <c r="AO9" s="3">
        <f>COUNTIFS(Input!$B$1:$B$1500,V$17,Input!$C$1:$C$1500,$C9,Input!$D$1:$D$1500,"R")/COUNTIFS(Input!$B$1:$B$1500,V$17,Input!$C$1:$C$1500,$C9)</f>
        <v>0</v>
      </c>
    </row>
    <row r="10" spans="1:41" s="2" customFormat="1" ht="22" customHeight="1">
      <c r="C10" s="5" t="s">
        <v>637</v>
      </c>
      <c r="D10" s="6"/>
      <c r="E10" s="6"/>
      <c r="F10" s="6"/>
      <c r="G10" s="6" t="str">
        <f>COUNTIFS(Input!$B$1:$B$1500,G$17,Input!$C$1:$C$1500,$C10,Input!$D$1:$D$1500,"R")&amp;"/"&amp;COUNTIFS(Input!$B$1:$B$1500,G$17,Input!$C$1:$C$1500,$C10)</f>
        <v>0/9</v>
      </c>
      <c r="H10" s="6" t="str">
        <f>COUNTIFS(Input!$B$1:$B$1500,H$17,Input!$C$1:$C$1500,$C10,Input!$D$1:$D$1500,"R")&amp;"/"&amp;COUNTIFS(Input!$B$1:$B$1500,H$17,Input!$C$1:$C$1500,$C10)</f>
        <v>0/3</v>
      </c>
      <c r="I10" s="6" t="str">
        <f>COUNTIFS(Input!$B$1:$B$1500,I$17,Input!$C$1:$C$1500,$C10,Input!$D$1:$D$1500,"R")&amp;"/"&amp;COUNTIFS(Input!$B$1:$B$1500,I$17,Input!$C$1:$C$1500,$C10)</f>
        <v>0/4</v>
      </c>
      <c r="J10" s="6" t="str">
        <f>COUNTIFS(Input!$B$1:$B$1500,J$17,Input!$C$1:$C$1500,$C10,Input!$D$1:$D$1500,"R")&amp;"/"&amp;COUNTIFS(Input!$B$1:$B$1500,J$17,Input!$C$1:$C$1500,$C10)</f>
        <v>0/2</v>
      </c>
      <c r="K10" s="6" t="str">
        <f>COUNTIFS(Input!$B$1:$B$1500,K$17,Input!$C$1:$C$1500,$C10,Input!$D$1:$D$1500,"R")&amp;"/"&amp;COUNTIFS(Input!$B$1:$B$1500,K$17,Input!$C$1:$C$1500,$C10)</f>
        <v>0/4</v>
      </c>
      <c r="L10" s="6" t="str">
        <f>COUNTIFS(Input!$B$1:$B$1500,L$17,Input!$C$1:$C$1500,$C10,Input!$D$1:$D$1500,"R")&amp;"/"&amp;COUNTIFS(Input!$B$1:$B$1500,L$17,Input!$C$1:$C$1500,$C10)</f>
        <v>0/11</v>
      </c>
      <c r="M10" s="6" t="str">
        <f>COUNTIFS(Input!$B$1:$B$1500,M$17,Input!$C$1:$C$1500,$C10,Input!$D$1:$D$1500,"R")&amp;"/"&amp;COUNTIFS(Input!$B$1:$B$1500,M$17,Input!$C$1:$C$1500,$C10)</f>
        <v>0/9</v>
      </c>
      <c r="N10" s="6" t="str">
        <f>COUNTIFS(Input!$B$1:$B$1500,N$17,Input!$C$1:$C$1500,$C10,Input!$D$1:$D$1500,"R")&amp;"/"&amp;COUNTIFS(Input!$B$1:$B$1500,N$17,Input!$C$1:$C$1500,$C10)</f>
        <v>0/4</v>
      </c>
      <c r="O10" s="6" t="str">
        <f>COUNTIFS(Input!$B$1:$B$1500,O$17,Input!$C$1:$C$1500,$C10,Input!$D$1:$D$1500,"R")&amp;"/"&amp;COUNTIFS(Input!$B$1:$B$1500,O$17,Input!$C$1:$C$1500,$C10)</f>
        <v>0/5</v>
      </c>
      <c r="P10" s="6" t="str">
        <f>COUNTIFS(Input!$B$1:$B$1500,P$17,Input!$C$1:$C$1500,$C10,Input!$D$1:$D$1500,"R")&amp;"/"&amp;COUNTIFS(Input!$B$1:$B$1500,P$17,Input!$C$1:$C$1500,$C10)</f>
        <v>0/4</v>
      </c>
      <c r="Q10" s="6" t="str">
        <f>COUNTIFS(Input!$B$1:$B$1500,Q$17,Input!$C$1:$C$1500,$C10,Input!$D$1:$D$1500,"R")&amp;"/"&amp;COUNTIFS(Input!$B$1:$B$1500,Q$17,Input!$C$1:$C$1500,$C10)</f>
        <v>0/2</v>
      </c>
      <c r="R10" s="6" t="str">
        <f>COUNTIFS(Input!$B$1:$B$1500,R$17,Input!$C$1:$C$1500,$C10,Input!$D$1:$D$1500,"R")&amp;"/"&amp;COUNTIFS(Input!$B$1:$B$1500,R$17,Input!$C$1:$C$1500,$C10)</f>
        <v>0/3</v>
      </c>
      <c r="S10" s="6" t="str">
        <f>COUNTIFS(Input!$B$1:$B$1500,S$17,Input!$C$1:$C$1500,$C10,Input!$D$1:$D$1500,"R")&amp;"/"&amp;COUNTIFS(Input!$B$1:$B$1500,S$17,Input!$C$1:$C$1500,$C10)</f>
        <v>0/2</v>
      </c>
      <c r="T10" s="6" t="str">
        <f>COUNTIFS(Input!$B$1:$B$1500,T$17,Input!$C$1:$C$1500,$C10,Input!$D$1:$D$1500,"R")&amp;"/"&amp;COUNTIFS(Input!$B$1:$B$1500,T$17,Input!$C$1:$C$1500,$C10)</f>
        <v>0/8</v>
      </c>
      <c r="U10" s="6" t="str">
        <f>COUNTIFS(Input!$B$1:$B$1500,U$17,Input!$C$1:$C$1500,$C10,Input!$D$1:$D$1500,"R")&amp;"/"&amp;COUNTIFS(Input!$B$1:$B$1500,U$17,Input!$C$1:$C$1500,$C10)</f>
        <v>0/10</v>
      </c>
      <c r="V10" s="6" t="str">
        <f>COUNTIFS(Input!$B$1:$B$1500,V$17,Input!$C$1:$C$1500,$C10,Input!$D$1:$D$1500,"R")&amp;"/"&amp;COUNTIFS(Input!$B$1:$B$1500,V$17,Input!$C$1:$C$1500,$C10)</f>
        <v>0/9</v>
      </c>
      <c r="W10" s="3" t="e">
        <f>COUNTIFS(Input!$B$1:$B$1500,D$17,Input!$C$1:$C$1500,$C10,Input!$D$1:$D$1500,"R")/COUNTIFS(Input!$B$1:$B$1500,D$17,Input!$C$1:$C$1500,$C10)</f>
        <v>#DIV/0!</v>
      </c>
      <c r="X10" s="3" t="e">
        <f>COUNTIFS(Input!$B$1:$B$1500,E$17,Input!$C$1:$C$1500,$C10,Input!$D$1:$D$1500,"R")/COUNTIFS(Input!$B$1:$B$1500,E$17,Input!$C$1:$C$1500,$C10)</f>
        <v>#DIV/0!</v>
      </c>
      <c r="Y10" s="3" t="e">
        <f>COUNTIFS(Input!$B$1:$B$1500,F$17,Input!$C$1:$C$1500,$C10,Input!$D$1:$D$1500,"R")/COUNTIFS(Input!$B$1:$B$1500,F$17,Input!$C$1:$C$1500,$C10)</f>
        <v>#DIV/0!</v>
      </c>
      <c r="Z10" s="3">
        <f>COUNTIFS(Input!$B$1:$B$1500,G$17,Input!$C$1:$C$1500,$C10,Input!$D$1:$D$1500,"R")/COUNTIFS(Input!$B$1:$B$1500,G$17,Input!$C$1:$C$1500,$C10)</f>
        <v>0</v>
      </c>
      <c r="AA10" s="3">
        <f>COUNTIFS(Input!$B$1:$B$1500,H$17,Input!$C$1:$C$1500,$C10,Input!$D$1:$D$1500,"R")/COUNTIFS(Input!$B$1:$B$1500,H$17,Input!$C$1:$C$1500,$C10)</f>
        <v>0</v>
      </c>
      <c r="AB10" s="3">
        <f>COUNTIFS(Input!$B$1:$B$1500,I$17,Input!$C$1:$C$1500,$C10,Input!$D$1:$D$1500,"R")/COUNTIFS(Input!$B$1:$B$1500,I$17,Input!$C$1:$C$1500,$C10)</f>
        <v>0</v>
      </c>
      <c r="AC10" s="3">
        <f>COUNTIFS(Input!$B$1:$B$1500,J$17,Input!$C$1:$C$1500,$C10,Input!$D$1:$D$1500,"R")/COUNTIFS(Input!$B$1:$B$1500,J$17,Input!$C$1:$C$1500,$C10)</f>
        <v>0</v>
      </c>
      <c r="AD10" s="3">
        <f>COUNTIFS(Input!$B$1:$B$1500,K$17,Input!$C$1:$C$1500,$C10,Input!$D$1:$D$1500,"R")/COUNTIFS(Input!$B$1:$B$1500,K$17,Input!$C$1:$C$1500,$C10)</f>
        <v>0</v>
      </c>
      <c r="AE10" s="3">
        <f>COUNTIFS(Input!$B$1:$B$1500,L$17,Input!$C$1:$C$1500,$C10,Input!$D$1:$D$1500,"R")/COUNTIFS(Input!$B$1:$B$1500,L$17,Input!$C$1:$C$1500,$C10)</f>
        <v>0</v>
      </c>
      <c r="AF10" s="3">
        <f>COUNTIFS(Input!$B$1:$B$1500,M$17,Input!$C$1:$C$1500,$C10,Input!$D$1:$D$1500,"R")/COUNTIFS(Input!$B$1:$B$1500,M$17,Input!$C$1:$C$1500,$C10)</f>
        <v>0</v>
      </c>
      <c r="AG10" s="3">
        <f>COUNTIFS(Input!$B$1:$B$1500,N$17,Input!$C$1:$C$1500,$C10,Input!$D$1:$D$1500,"R")/COUNTIFS(Input!$B$1:$B$1500,N$17,Input!$C$1:$C$1500,$C10)</f>
        <v>0</v>
      </c>
      <c r="AH10" s="3">
        <f>COUNTIFS(Input!$B$1:$B$1500,O$17,Input!$C$1:$C$1500,$C10,Input!$D$1:$D$1500,"R")/COUNTIFS(Input!$B$1:$B$1500,O$17,Input!$C$1:$C$1500,$C10)</f>
        <v>0</v>
      </c>
      <c r="AI10" s="3">
        <f>COUNTIFS(Input!$B$1:$B$1500,P$17,Input!$C$1:$C$1500,$C10,Input!$D$1:$D$1500,"R")/COUNTIFS(Input!$B$1:$B$1500,P$17,Input!$C$1:$C$1500,$C10)</f>
        <v>0</v>
      </c>
      <c r="AJ10" s="3">
        <f>COUNTIFS(Input!$B$1:$B$1500,Q$17,Input!$C$1:$C$1500,$C10,Input!$D$1:$D$1500,"R")/COUNTIFS(Input!$B$1:$B$1500,Q$17,Input!$C$1:$C$1500,$C10)</f>
        <v>0</v>
      </c>
      <c r="AK10" s="3">
        <f>COUNTIFS(Input!$B$1:$B$1500,R$17,Input!$C$1:$C$1500,$C10,Input!$D$1:$D$1500,"R")/COUNTIFS(Input!$B$1:$B$1500,R$17,Input!$C$1:$C$1500,$C10)</f>
        <v>0</v>
      </c>
      <c r="AL10" s="3">
        <f>COUNTIFS(Input!$B$1:$B$1500,S$17,Input!$C$1:$C$1500,$C10,Input!$D$1:$D$1500,"R")/COUNTIFS(Input!$B$1:$B$1500,S$17,Input!$C$1:$C$1500,$C10)</f>
        <v>0</v>
      </c>
      <c r="AM10" s="3">
        <f>COUNTIFS(Input!$B$1:$B$1500,T$17,Input!$C$1:$C$1500,$C10,Input!$D$1:$D$1500,"R")/COUNTIFS(Input!$B$1:$B$1500,T$17,Input!$C$1:$C$1500,$C10)</f>
        <v>0</v>
      </c>
      <c r="AN10" s="3">
        <f>COUNTIFS(Input!$B$1:$B$1500,U$17,Input!$C$1:$C$1500,$C10,Input!$D$1:$D$1500,"R")/COUNTIFS(Input!$B$1:$B$1500,U$17,Input!$C$1:$C$1500,$C10)</f>
        <v>0</v>
      </c>
      <c r="AO10" s="3">
        <f>COUNTIFS(Input!$B$1:$B$1500,V$17,Input!$C$1:$C$1500,$C10,Input!$D$1:$D$1500,"R")/COUNTIFS(Input!$B$1:$B$1500,V$17,Input!$C$1:$C$1500,$C10)</f>
        <v>0</v>
      </c>
    </row>
    <row r="11" spans="1:41" s="2" customFormat="1" ht="22" customHeight="1">
      <c r="C11" s="5" t="s">
        <v>487</v>
      </c>
      <c r="D11" s="6" t="str">
        <f>COUNTIFS(Input!$B$1:$B$1500,D$17,Input!$C$1:$C$1500,$C11,Input!$D$1:$D$1500,"R")&amp;"/"&amp;COUNTIFS(Input!$B$1:$B$1500,D$17,Input!$C$1:$C$1500,$C11)</f>
        <v>0/6</v>
      </c>
      <c r="E11" s="6" t="str">
        <f>COUNTIFS(Input!$B$1:$B$1500,E$17,Input!$C$1:$C$1500,$C11,Input!$D$1:$D$1500,"R")&amp;"/"&amp;COUNTIFS(Input!$B$1:$B$1500,E$17,Input!$C$1:$C$1500,$C11)</f>
        <v>0/5</v>
      </c>
      <c r="F11" s="6" t="str">
        <f>COUNTIFS(Input!$B$1:$B$1500,F$17,Input!$C$1:$C$1500,$C11,Input!$D$1:$D$1500,"R")&amp;"/"&amp;COUNTIFS(Input!$B$1:$B$1500,F$17,Input!$C$1:$C$1500,$C11)</f>
        <v>0/4</v>
      </c>
      <c r="G11" s="6" t="str">
        <f>COUNTIFS(Input!$B$1:$B$1500,G$17,Input!$C$1:$C$1500,$C11,Input!$D$1:$D$1500,"R")&amp;"/"&amp;COUNTIFS(Input!$B$1:$B$1500,G$17,Input!$C$1:$C$1500,$C11)</f>
        <v>0/12</v>
      </c>
      <c r="H11" s="6" t="str">
        <f>COUNTIFS(Input!$B$1:$B$1500,H$17,Input!$C$1:$C$1500,$C11,Input!$D$1:$D$1500,"R")&amp;"/"&amp;COUNTIFS(Input!$B$1:$B$1500,H$17,Input!$C$1:$C$1500,$C11)</f>
        <v>0/8</v>
      </c>
      <c r="I11" s="6" t="str">
        <f>COUNTIFS(Input!$B$1:$B$1500,I$17,Input!$C$1:$C$1500,$C11,Input!$D$1:$D$1500,"R")&amp;"/"&amp;COUNTIFS(Input!$B$1:$B$1500,I$17,Input!$C$1:$C$1500,$C11)</f>
        <v>0/10</v>
      </c>
      <c r="J11" s="6" t="str">
        <f>COUNTIFS(Input!$B$1:$B$1500,J$17,Input!$C$1:$C$1500,$C11,Input!$D$1:$D$1500,"R")&amp;"/"&amp;COUNTIFS(Input!$B$1:$B$1500,J$17,Input!$C$1:$C$1500,$C11)</f>
        <v>0/5</v>
      </c>
      <c r="K11" s="6" t="str">
        <f>COUNTIFS(Input!$B$1:$B$1500,K$17,Input!$C$1:$C$1500,$C11,Input!$D$1:$D$1500,"R")&amp;"/"&amp;COUNTIFS(Input!$B$1:$B$1500,K$17,Input!$C$1:$C$1500,$C11)</f>
        <v>0/2</v>
      </c>
      <c r="L11" s="6" t="str">
        <f>COUNTIFS(Input!$B$1:$B$1500,L$17,Input!$C$1:$C$1500,$C11,Input!$D$1:$D$1500,"R")&amp;"/"&amp;COUNTIFS(Input!$B$1:$B$1500,L$17,Input!$C$1:$C$1500,$C11)</f>
        <v>0/6</v>
      </c>
      <c r="M11" s="6" t="str">
        <f>COUNTIFS(Input!$B$1:$B$1500,M$17,Input!$C$1:$C$1500,$C11,Input!$D$1:$D$1500,"R")&amp;"/"&amp;COUNTIFS(Input!$B$1:$B$1500,M$17,Input!$C$1:$C$1500,$C11)</f>
        <v>0/18</v>
      </c>
      <c r="N11" s="6" t="str">
        <f>COUNTIFS(Input!$B$1:$B$1500,N$17,Input!$C$1:$C$1500,$C11,Input!$D$1:$D$1500,"R")&amp;"/"&amp;COUNTIFS(Input!$B$1:$B$1500,N$17,Input!$C$1:$C$1500,$C11)</f>
        <v>0/6</v>
      </c>
      <c r="O11" s="6" t="str">
        <f>COUNTIFS(Input!$B$1:$B$1500,O$17,Input!$C$1:$C$1500,$C11,Input!$D$1:$D$1500,"R")&amp;"/"&amp;COUNTIFS(Input!$B$1:$B$1500,O$17,Input!$C$1:$C$1500,$C11)</f>
        <v>0/11</v>
      </c>
      <c r="P11" s="6" t="str">
        <f>COUNTIFS(Input!$B$1:$B$1500,P$17,Input!$C$1:$C$1500,$C11,Input!$D$1:$D$1500,"R")&amp;"/"&amp;COUNTIFS(Input!$B$1:$B$1500,P$17,Input!$C$1:$C$1500,$C11)</f>
        <v>0/4</v>
      </c>
      <c r="Q11" s="6" t="str">
        <f>COUNTIFS(Input!$B$1:$B$1500,Q$17,Input!$C$1:$C$1500,$C11,Input!$D$1:$D$1500,"R")&amp;"/"&amp;COUNTIFS(Input!$B$1:$B$1500,Q$17,Input!$C$1:$C$1500,$C11)</f>
        <v>0/4</v>
      </c>
      <c r="R11" s="6" t="str">
        <f>COUNTIFS(Input!$B$1:$B$1500,R$17,Input!$C$1:$C$1500,$C11,Input!$D$1:$D$1500,"R")&amp;"/"&amp;COUNTIFS(Input!$B$1:$B$1500,R$17,Input!$C$1:$C$1500,$C11)</f>
        <v>0/5</v>
      </c>
      <c r="S11" s="6" t="str">
        <f>COUNTIFS(Input!$B$1:$B$1500,S$17,Input!$C$1:$C$1500,$C11,Input!$D$1:$D$1500,"R")&amp;"/"&amp;COUNTIFS(Input!$B$1:$B$1500,S$17,Input!$C$1:$C$1500,$C11)</f>
        <v>0/4</v>
      </c>
      <c r="T11" s="6" t="str">
        <f>COUNTIFS(Input!$B$1:$B$1500,T$17,Input!$C$1:$C$1500,$C11,Input!$D$1:$D$1500,"R")&amp;"/"&amp;COUNTIFS(Input!$B$1:$B$1500,T$17,Input!$C$1:$C$1500,$C11)</f>
        <v>0/6</v>
      </c>
      <c r="U11" s="6" t="str">
        <f>COUNTIFS(Input!$B$1:$B$1500,U$17,Input!$C$1:$C$1500,$C11,Input!$D$1:$D$1500,"R")&amp;"/"&amp;COUNTIFS(Input!$B$1:$B$1500,U$17,Input!$C$1:$C$1500,$C11)</f>
        <v>0/8</v>
      </c>
      <c r="V11" s="6" t="str">
        <f>COUNTIFS(Input!$B$1:$B$1500,V$17,Input!$C$1:$C$1500,$C11,Input!$D$1:$D$1500,"R")&amp;"/"&amp;COUNTIFS(Input!$B$1:$B$1500,V$17,Input!$C$1:$C$1500,$C11)</f>
        <v>0/6</v>
      </c>
      <c r="W11" s="3">
        <f>COUNTIFS(Input!$B$1:$B$1500,D$17,Input!$C$1:$C$1500,$C11,Input!$D$1:$D$1500,"R")/COUNTIFS(Input!$B$1:$B$1500,D$17,Input!$C$1:$C$1500,$C11)</f>
        <v>0</v>
      </c>
      <c r="X11" s="3">
        <f>COUNTIFS(Input!$B$1:$B$1500,E$17,Input!$C$1:$C$1500,$C11,Input!$D$1:$D$1500,"R")/COUNTIFS(Input!$B$1:$B$1500,E$17,Input!$C$1:$C$1500,$C11)</f>
        <v>0</v>
      </c>
      <c r="Y11" s="3">
        <f>COUNTIFS(Input!$B$1:$B$1500,F$17,Input!$C$1:$C$1500,$C11,Input!$D$1:$D$1500,"R")/COUNTIFS(Input!$B$1:$B$1500,F$17,Input!$C$1:$C$1500,$C11)</f>
        <v>0</v>
      </c>
      <c r="Z11" s="3">
        <f>COUNTIFS(Input!$B$1:$B$1500,G$17,Input!$C$1:$C$1500,$C11,Input!$D$1:$D$1500,"R")/COUNTIFS(Input!$B$1:$B$1500,G$17,Input!$C$1:$C$1500,$C11)</f>
        <v>0</v>
      </c>
      <c r="AA11" s="3">
        <f>COUNTIFS(Input!$B$1:$B$1500,H$17,Input!$C$1:$C$1500,$C11,Input!$D$1:$D$1500,"R")/COUNTIFS(Input!$B$1:$B$1500,H$17,Input!$C$1:$C$1500,$C11)</f>
        <v>0</v>
      </c>
      <c r="AB11" s="3">
        <f>COUNTIFS(Input!$B$1:$B$1500,I$17,Input!$C$1:$C$1500,$C11,Input!$D$1:$D$1500,"R")/COUNTIFS(Input!$B$1:$B$1500,I$17,Input!$C$1:$C$1500,$C11)</f>
        <v>0</v>
      </c>
      <c r="AC11" s="3">
        <f>COUNTIFS(Input!$B$1:$B$1500,J$17,Input!$C$1:$C$1500,$C11,Input!$D$1:$D$1500,"R")/COUNTIFS(Input!$B$1:$B$1500,J$17,Input!$C$1:$C$1500,$C11)</f>
        <v>0</v>
      </c>
      <c r="AD11" s="3">
        <f>COUNTIFS(Input!$B$1:$B$1500,K$17,Input!$C$1:$C$1500,$C11,Input!$D$1:$D$1500,"R")/COUNTIFS(Input!$B$1:$B$1500,K$17,Input!$C$1:$C$1500,$C11)</f>
        <v>0</v>
      </c>
      <c r="AE11" s="3">
        <f>COUNTIFS(Input!$B$1:$B$1500,L$17,Input!$C$1:$C$1500,$C11,Input!$D$1:$D$1500,"R")/COUNTIFS(Input!$B$1:$B$1500,L$17,Input!$C$1:$C$1500,$C11)</f>
        <v>0</v>
      </c>
      <c r="AF11" s="3">
        <f>COUNTIFS(Input!$B$1:$B$1500,M$17,Input!$C$1:$C$1500,$C11,Input!$D$1:$D$1500,"R")/COUNTIFS(Input!$B$1:$B$1500,M$17,Input!$C$1:$C$1500,$C11)</f>
        <v>0</v>
      </c>
      <c r="AG11" s="3">
        <f>COUNTIFS(Input!$B$1:$B$1500,N$17,Input!$C$1:$C$1500,$C11,Input!$D$1:$D$1500,"R")/COUNTIFS(Input!$B$1:$B$1500,N$17,Input!$C$1:$C$1500,$C11)</f>
        <v>0</v>
      </c>
      <c r="AH11" s="3">
        <f>COUNTIFS(Input!$B$1:$B$1500,O$17,Input!$C$1:$C$1500,$C11,Input!$D$1:$D$1500,"R")/COUNTIFS(Input!$B$1:$B$1500,O$17,Input!$C$1:$C$1500,$C11)</f>
        <v>0</v>
      </c>
      <c r="AI11" s="3">
        <f>COUNTIFS(Input!$B$1:$B$1500,P$17,Input!$C$1:$C$1500,$C11,Input!$D$1:$D$1500,"R")/COUNTIFS(Input!$B$1:$B$1500,P$17,Input!$C$1:$C$1500,$C11)</f>
        <v>0</v>
      </c>
      <c r="AJ11" s="3">
        <f>COUNTIFS(Input!$B$1:$B$1500,Q$17,Input!$C$1:$C$1500,$C11,Input!$D$1:$D$1500,"R")/COUNTIFS(Input!$B$1:$B$1500,Q$17,Input!$C$1:$C$1500,$C11)</f>
        <v>0</v>
      </c>
      <c r="AK11" s="3">
        <f>COUNTIFS(Input!$B$1:$B$1500,R$17,Input!$C$1:$C$1500,$C11,Input!$D$1:$D$1500,"R")/COUNTIFS(Input!$B$1:$B$1500,R$17,Input!$C$1:$C$1500,$C11)</f>
        <v>0</v>
      </c>
      <c r="AL11" s="3">
        <f>COUNTIFS(Input!$B$1:$B$1500,S$17,Input!$C$1:$C$1500,$C11,Input!$D$1:$D$1500,"R")/COUNTIFS(Input!$B$1:$B$1500,S$17,Input!$C$1:$C$1500,$C11)</f>
        <v>0</v>
      </c>
      <c r="AM11" s="3">
        <f>COUNTIFS(Input!$B$1:$B$1500,T$17,Input!$C$1:$C$1500,$C11,Input!$D$1:$D$1500,"R")/COUNTIFS(Input!$B$1:$B$1500,T$17,Input!$C$1:$C$1500,$C11)</f>
        <v>0</v>
      </c>
      <c r="AN11" s="3">
        <f>COUNTIFS(Input!$B$1:$B$1500,U$17,Input!$C$1:$C$1500,$C11,Input!$D$1:$D$1500,"R")/COUNTIFS(Input!$B$1:$B$1500,U$17,Input!$C$1:$C$1500,$C11)</f>
        <v>0</v>
      </c>
      <c r="AO11" s="3">
        <f>COUNTIFS(Input!$B$1:$B$1500,V$17,Input!$C$1:$C$1500,$C11,Input!$D$1:$D$1500,"R")/COUNTIFS(Input!$B$1:$B$1500,V$17,Input!$C$1:$C$1500,$C11)</f>
        <v>0</v>
      </c>
    </row>
    <row r="12" spans="1:41" s="2" customFormat="1" ht="22" customHeight="1">
      <c r="C12" s="5" t="s">
        <v>326</v>
      </c>
      <c r="D12" s="6" t="str">
        <f>COUNTIFS(Input!$B$1:$B$1500,D$17,Input!$C$1:$C$1500,$C12,Input!$D$1:$D$1500,"R")&amp;"/"&amp;COUNTIFS(Input!$B$1:$B$1500,D$17,Input!$C$1:$C$1500,$C12)</f>
        <v>0/15</v>
      </c>
      <c r="E12" s="6" t="str">
        <f>COUNTIFS(Input!$B$1:$B$1500,E$17,Input!$C$1:$C$1500,$C12,Input!$D$1:$D$1500,"R")&amp;"/"&amp;COUNTIFS(Input!$B$1:$B$1500,E$17,Input!$C$1:$C$1500,$C12)</f>
        <v>0/9</v>
      </c>
      <c r="F12" s="6" t="str">
        <f>COUNTIFS(Input!$B$1:$B$1500,F$17,Input!$C$1:$C$1500,$C12,Input!$D$1:$D$1500,"R")&amp;"/"&amp;COUNTIFS(Input!$B$1:$B$1500,F$17,Input!$C$1:$C$1500,$C12)</f>
        <v>0/8</v>
      </c>
      <c r="G12" s="6" t="str">
        <f>COUNTIFS(Input!$B$1:$B$1500,G$17,Input!$C$1:$C$1500,$C12,Input!$D$1:$D$1500,"R")&amp;"/"&amp;COUNTIFS(Input!$B$1:$B$1500,G$17,Input!$C$1:$C$1500,$C12)</f>
        <v>0/15</v>
      </c>
      <c r="H12" s="6" t="str">
        <f>COUNTIFS(Input!$B$1:$B$1500,H$17,Input!$C$1:$C$1500,$C12,Input!$D$1:$D$1500,"R")&amp;"/"&amp;COUNTIFS(Input!$B$1:$B$1500,H$17,Input!$C$1:$C$1500,$C12)</f>
        <v>0/9</v>
      </c>
      <c r="I12" s="6" t="str">
        <f>COUNTIFS(Input!$B$1:$B$1500,I$17,Input!$C$1:$C$1500,$C12,Input!$D$1:$D$1500,"R")&amp;"/"&amp;COUNTIFS(Input!$B$1:$B$1500,I$17,Input!$C$1:$C$1500,$C12)</f>
        <v>0/10</v>
      </c>
      <c r="J12" s="6" t="str">
        <f>COUNTIFS(Input!$B$1:$B$1500,J$17,Input!$C$1:$C$1500,$C12,Input!$D$1:$D$1500,"R")&amp;"/"&amp;COUNTIFS(Input!$B$1:$B$1500,J$17,Input!$C$1:$C$1500,$C12)</f>
        <v>0/12</v>
      </c>
      <c r="K12" s="6" t="str">
        <f>COUNTIFS(Input!$B$1:$B$1500,K$17,Input!$C$1:$C$1500,$C12,Input!$D$1:$D$1500,"R")&amp;"/"&amp;COUNTIFS(Input!$B$1:$B$1500,K$17,Input!$C$1:$C$1500,$C12)</f>
        <v>0/1</v>
      </c>
      <c r="L12" s="6" t="str">
        <f>COUNTIFS(Input!$B$1:$B$1500,L$17,Input!$C$1:$C$1500,$C12,Input!$D$1:$D$1500,"R")&amp;"/"&amp;COUNTIFS(Input!$B$1:$B$1500,L$17,Input!$C$1:$C$1500,$C12)</f>
        <v>0/1</v>
      </c>
      <c r="M12" s="6" t="str">
        <f>COUNTIFS(Input!$B$1:$B$1500,M$17,Input!$C$1:$C$1500,$C12,Input!$D$1:$D$1500,"R")&amp;"/"&amp;COUNTIFS(Input!$B$1:$B$1500,M$17,Input!$C$1:$C$1500,$C12)</f>
        <v>0/8</v>
      </c>
      <c r="N12" s="6" t="str">
        <f>COUNTIFS(Input!$B$1:$B$1500,N$17,Input!$C$1:$C$1500,$C12,Input!$D$1:$D$1500,"R")&amp;"/"&amp;COUNTIFS(Input!$B$1:$B$1500,N$17,Input!$C$1:$C$1500,$C12)</f>
        <v>0/3</v>
      </c>
      <c r="O12" s="6" t="str">
        <f>COUNTIFS(Input!$B$1:$B$1500,O$17,Input!$C$1:$C$1500,$C12,Input!$D$1:$D$1500,"R")&amp;"/"&amp;COUNTIFS(Input!$B$1:$B$1500,O$17,Input!$C$1:$C$1500,$C12)</f>
        <v>0/4</v>
      </c>
      <c r="P12" s="6" t="str">
        <f>COUNTIFS(Input!$B$1:$B$1500,P$17,Input!$C$1:$C$1500,$C12,Input!$D$1:$D$1500,"R")&amp;"/"&amp;COUNTIFS(Input!$B$1:$B$1500,P$17,Input!$C$1:$C$1500,$C12)</f>
        <v>0/5</v>
      </c>
      <c r="Q12" s="6" t="str">
        <f>COUNTIFS(Input!$B$1:$B$1500,Q$17,Input!$C$1:$C$1500,$C12,Input!$D$1:$D$1500,"R")&amp;"/"&amp;COUNTIFS(Input!$B$1:$B$1500,Q$17,Input!$C$1:$C$1500,$C12)</f>
        <v>0/5</v>
      </c>
      <c r="R12" s="6" t="str">
        <f>COUNTIFS(Input!$B$1:$B$1500,R$17,Input!$C$1:$C$1500,$C12,Input!$D$1:$D$1500,"R")&amp;"/"&amp;COUNTIFS(Input!$B$1:$B$1500,R$17,Input!$C$1:$C$1500,$C12)</f>
        <v>0/8</v>
      </c>
      <c r="S12" s="6" t="str">
        <f>COUNTIFS(Input!$B$1:$B$1500,S$17,Input!$C$1:$C$1500,$C12,Input!$D$1:$D$1500,"R")&amp;"/"&amp;COUNTIFS(Input!$B$1:$B$1500,S$17,Input!$C$1:$C$1500,$C12)</f>
        <v>0/3</v>
      </c>
      <c r="T12" s="6" t="str">
        <f>COUNTIFS(Input!$B$1:$B$1500,T$17,Input!$C$1:$C$1500,$C12,Input!$D$1:$D$1500,"R")&amp;"/"&amp;COUNTIFS(Input!$B$1:$B$1500,T$17,Input!$C$1:$C$1500,$C12)</f>
        <v>0/4</v>
      </c>
      <c r="U12" s="6" t="str">
        <f>COUNTIFS(Input!$B$1:$B$1500,U$17,Input!$C$1:$C$1500,$C12,Input!$D$1:$D$1500,"R")&amp;"/"&amp;COUNTIFS(Input!$B$1:$B$1500,U$17,Input!$C$1:$C$1500,$C12)</f>
        <v>0/9</v>
      </c>
      <c r="V12" s="6" t="str">
        <f>COUNTIFS(Input!$B$1:$B$1500,V$17,Input!$C$1:$C$1500,$C12,Input!$D$1:$D$1500,"R")&amp;"/"&amp;COUNTIFS(Input!$B$1:$B$1500,V$17,Input!$C$1:$C$1500,$C12)</f>
        <v>0/6</v>
      </c>
      <c r="W12" s="3">
        <f>COUNTIFS(Input!$B$1:$B$1500,D$17,Input!$C$1:$C$1500,$C12,Input!$D$1:$D$1500,"R")/COUNTIFS(Input!$B$1:$B$1500,D$17,Input!$C$1:$C$1500,$C12)</f>
        <v>0</v>
      </c>
      <c r="X12" s="3">
        <f>COUNTIFS(Input!$B$1:$B$1500,E$17,Input!$C$1:$C$1500,$C12,Input!$D$1:$D$1500,"R")/COUNTIFS(Input!$B$1:$B$1500,E$17,Input!$C$1:$C$1500,$C12)</f>
        <v>0</v>
      </c>
      <c r="Y12" s="3">
        <f>COUNTIFS(Input!$B$1:$B$1500,F$17,Input!$C$1:$C$1500,$C12,Input!$D$1:$D$1500,"R")/COUNTIFS(Input!$B$1:$B$1500,F$17,Input!$C$1:$C$1500,$C12)</f>
        <v>0</v>
      </c>
      <c r="Z12" s="3">
        <f>COUNTIFS(Input!$B$1:$B$1500,G$17,Input!$C$1:$C$1500,$C12,Input!$D$1:$D$1500,"R")/COUNTIFS(Input!$B$1:$B$1500,G$17,Input!$C$1:$C$1500,$C12)</f>
        <v>0</v>
      </c>
      <c r="AA12" s="3">
        <f>COUNTIFS(Input!$B$1:$B$1500,H$17,Input!$C$1:$C$1500,$C12,Input!$D$1:$D$1500,"R")/COUNTIFS(Input!$B$1:$B$1500,H$17,Input!$C$1:$C$1500,$C12)</f>
        <v>0</v>
      </c>
      <c r="AB12" s="3">
        <f>COUNTIFS(Input!$B$1:$B$1500,I$17,Input!$C$1:$C$1500,$C12,Input!$D$1:$D$1500,"R")/COUNTIFS(Input!$B$1:$B$1500,I$17,Input!$C$1:$C$1500,$C12)</f>
        <v>0</v>
      </c>
      <c r="AC12" s="3">
        <f>COUNTIFS(Input!$B$1:$B$1500,J$17,Input!$C$1:$C$1500,$C12,Input!$D$1:$D$1500,"R")/COUNTIFS(Input!$B$1:$B$1500,J$17,Input!$C$1:$C$1500,$C12)</f>
        <v>0</v>
      </c>
      <c r="AD12" s="3">
        <f>COUNTIFS(Input!$B$1:$B$1500,K$17,Input!$C$1:$C$1500,$C12,Input!$D$1:$D$1500,"R")/COUNTIFS(Input!$B$1:$B$1500,K$17,Input!$C$1:$C$1500,$C12)</f>
        <v>0</v>
      </c>
      <c r="AE12" s="3">
        <f>COUNTIFS(Input!$B$1:$B$1500,L$17,Input!$C$1:$C$1500,$C12,Input!$D$1:$D$1500,"R")/COUNTIFS(Input!$B$1:$B$1500,L$17,Input!$C$1:$C$1500,$C12)</f>
        <v>0</v>
      </c>
      <c r="AF12" s="3">
        <f>COUNTIFS(Input!$B$1:$B$1500,M$17,Input!$C$1:$C$1500,$C12,Input!$D$1:$D$1500,"R")/COUNTIFS(Input!$B$1:$B$1500,M$17,Input!$C$1:$C$1500,$C12)</f>
        <v>0</v>
      </c>
      <c r="AG12" s="3">
        <f>COUNTIFS(Input!$B$1:$B$1500,N$17,Input!$C$1:$C$1500,$C12,Input!$D$1:$D$1500,"R")/COUNTIFS(Input!$B$1:$B$1500,N$17,Input!$C$1:$C$1500,$C12)</f>
        <v>0</v>
      </c>
      <c r="AH12" s="3">
        <f>COUNTIFS(Input!$B$1:$B$1500,O$17,Input!$C$1:$C$1500,$C12,Input!$D$1:$D$1500,"R")/COUNTIFS(Input!$B$1:$B$1500,O$17,Input!$C$1:$C$1500,$C12)</f>
        <v>0</v>
      </c>
      <c r="AI12" s="3">
        <f>COUNTIFS(Input!$B$1:$B$1500,P$17,Input!$C$1:$C$1500,$C12,Input!$D$1:$D$1500,"R")/COUNTIFS(Input!$B$1:$B$1500,P$17,Input!$C$1:$C$1500,$C12)</f>
        <v>0</v>
      </c>
      <c r="AJ12" s="3">
        <f>COUNTIFS(Input!$B$1:$B$1500,Q$17,Input!$C$1:$C$1500,$C12,Input!$D$1:$D$1500,"R")/COUNTIFS(Input!$B$1:$B$1500,Q$17,Input!$C$1:$C$1500,$C12)</f>
        <v>0</v>
      </c>
      <c r="AK12" s="3">
        <f>COUNTIFS(Input!$B$1:$B$1500,R$17,Input!$C$1:$C$1500,$C12,Input!$D$1:$D$1500,"R")/COUNTIFS(Input!$B$1:$B$1500,R$17,Input!$C$1:$C$1500,$C12)</f>
        <v>0</v>
      </c>
      <c r="AL12" s="3">
        <f>COUNTIFS(Input!$B$1:$B$1500,S$17,Input!$C$1:$C$1500,$C12,Input!$D$1:$D$1500,"R")/COUNTIFS(Input!$B$1:$B$1500,S$17,Input!$C$1:$C$1500,$C12)</f>
        <v>0</v>
      </c>
      <c r="AM12" s="3">
        <f>COUNTIFS(Input!$B$1:$B$1500,T$17,Input!$C$1:$C$1500,$C12,Input!$D$1:$D$1500,"R")/COUNTIFS(Input!$B$1:$B$1500,T$17,Input!$C$1:$C$1500,$C12)</f>
        <v>0</v>
      </c>
      <c r="AN12" s="3">
        <f>COUNTIFS(Input!$B$1:$B$1500,U$17,Input!$C$1:$C$1500,$C12,Input!$D$1:$D$1500,"R")/COUNTIFS(Input!$B$1:$B$1500,U$17,Input!$C$1:$C$1500,$C12)</f>
        <v>0</v>
      </c>
      <c r="AO12" s="3">
        <f>COUNTIFS(Input!$B$1:$B$1500,V$17,Input!$C$1:$C$1500,$C12,Input!$D$1:$D$1500,"R")/COUNTIFS(Input!$B$1:$B$1500,V$17,Input!$C$1:$C$1500,$C12)</f>
        <v>0</v>
      </c>
    </row>
    <row r="13" spans="1:41" s="2" customFormat="1" ht="22" customHeight="1">
      <c r="C13" s="5" t="s">
        <v>171</v>
      </c>
      <c r="D13" s="6" t="str">
        <f>COUNTIFS(Input!$B$1:$B$1500,D$17,Input!$C$1:$C$1500,$C13,Input!$D$1:$D$1500,"R")&amp;"/"&amp;COUNTIFS(Input!$B$1:$B$1500,D$17,Input!$C$1:$C$1500,$C13)</f>
        <v>0/8</v>
      </c>
      <c r="E13" s="6" t="str">
        <f>COUNTIFS(Input!$B$1:$B$1500,E$17,Input!$C$1:$C$1500,$C13,Input!$D$1:$D$1500,"R")&amp;"/"&amp;COUNTIFS(Input!$B$1:$B$1500,E$17,Input!$C$1:$C$1500,$C13)</f>
        <v>0/8</v>
      </c>
      <c r="F13" s="6" t="str">
        <f>COUNTIFS(Input!$B$1:$B$1500,F$17,Input!$C$1:$C$1500,$C13,Input!$D$1:$D$1500,"R")&amp;"/"&amp;COUNTIFS(Input!$B$1:$B$1500,F$17,Input!$C$1:$C$1500,$C13)</f>
        <v>0/10</v>
      </c>
      <c r="G13" s="6" t="str">
        <f>COUNTIFS(Input!$B$1:$B$1500,G$17,Input!$C$1:$C$1500,$C13,Input!$D$1:$D$1500,"R")&amp;"/"&amp;COUNTIFS(Input!$B$1:$B$1500,G$17,Input!$C$1:$C$1500,$C13)</f>
        <v>0/13</v>
      </c>
      <c r="H13" s="6" t="str">
        <f>COUNTIFS(Input!$B$1:$B$1500,H$17,Input!$C$1:$C$1500,$C13,Input!$D$1:$D$1500,"R")&amp;"/"&amp;COUNTIFS(Input!$B$1:$B$1500,H$17,Input!$C$1:$C$1500,$C13)</f>
        <v>0/6</v>
      </c>
      <c r="I13" s="6" t="str">
        <f>COUNTIFS(Input!$B$1:$B$1500,I$17,Input!$C$1:$C$1500,$C13,Input!$D$1:$D$1500,"R")&amp;"/"&amp;COUNTIFS(Input!$B$1:$B$1500,I$17,Input!$C$1:$C$1500,$C13)</f>
        <v>0/6</v>
      </c>
      <c r="J13" s="6" t="str">
        <f>COUNTIFS(Input!$B$1:$B$1500,J$17,Input!$C$1:$C$1500,$C13,Input!$D$1:$D$1500,"R")&amp;"/"&amp;COUNTIFS(Input!$B$1:$B$1500,J$17,Input!$C$1:$C$1500,$C13)</f>
        <v>0/7</v>
      </c>
      <c r="K13" s="6" t="str">
        <f>COUNTIFS(Input!$B$1:$B$1500,K$17,Input!$C$1:$C$1500,$C13,Input!$D$1:$D$1500,"R")&amp;"/"&amp;COUNTIFS(Input!$B$1:$B$1500,K$17,Input!$C$1:$C$1500,$C13)</f>
        <v>0/0</v>
      </c>
      <c r="L13" s="6" t="str">
        <f>COUNTIFS(Input!$B$1:$B$1500,L$17,Input!$C$1:$C$1500,$C13,Input!$D$1:$D$1500,"R")&amp;"/"&amp;COUNTIFS(Input!$B$1:$B$1500,L$17,Input!$C$1:$C$1500,$C13)</f>
        <v>0/3</v>
      </c>
      <c r="M13" s="6" t="str">
        <f>COUNTIFS(Input!$B$1:$B$1500,M$17,Input!$C$1:$C$1500,$C13,Input!$D$1:$D$1500,"R")&amp;"/"&amp;COUNTIFS(Input!$B$1:$B$1500,M$17,Input!$C$1:$C$1500,$C13)</f>
        <v>0/24</v>
      </c>
      <c r="N13" s="6" t="str">
        <f>COUNTIFS(Input!$B$1:$B$1500,N$17,Input!$C$1:$C$1500,$C13,Input!$D$1:$D$1500,"R")&amp;"/"&amp;COUNTIFS(Input!$B$1:$B$1500,N$17,Input!$C$1:$C$1500,$C13)</f>
        <v>0/4</v>
      </c>
      <c r="O13" s="6" t="str">
        <f>COUNTIFS(Input!$B$1:$B$1500,O$17,Input!$C$1:$C$1500,$C13,Input!$D$1:$D$1500,"R")&amp;"/"&amp;COUNTIFS(Input!$B$1:$B$1500,O$17,Input!$C$1:$C$1500,$C13)</f>
        <v>0/8</v>
      </c>
      <c r="P13" s="6" t="str">
        <f>COUNTIFS(Input!$B$1:$B$1500,P$17,Input!$C$1:$C$1500,$C13,Input!$D$1:$D$1500,"R")&amp;"/"&amp;COUNTIFS(Input!$B$1:$B$1500,P$17,Input!$C$1:$C$1500,$C13)</f>
        <v>0/5</v>
      </c>
      <c r="Q13" s="6" t="str">
        <f>COUNTIFS(Input!$B$1:$B$1500,Q$17,Input!$C$1:$C$1500,$C13,Input!$D$1:$D$1500,"R")&amp;"/"&amp;COUNTIFS(Input!$B$1:$B$1500,Q$17,Input!$C$1:$C$1500,$C13)</f>
        <v>0/4</v>
      </c>
      <c r="R13" s="6" t="str">
        <f>COUNTIFS(Input!$B$1:$B$1500,R$17,Input!$C$1:$C$1500,$C13,Input!$D$1:$D$1500,"R")&amp;"/"&amp;COUNTIFS(Input!$B$1:$B$1500,R$17,Input!$C$1:$C$1500,$C13)</f>
        <v>0/1</v>
      </c>
      <c r="S13" s="6" t="str">
        <f>COUNTIFS(Input!$B$1:$B$1500,S$17,Input!$C$1:$C$1500,$C13,Input!$D$1:$D$1500,"R")&amp;"/"&amp;COUNTIFS(Input!$B$1:$B$1500,S$17,Input!$C$1:$C$1500,$C13)</f>
        <v>0/4</v>
      </c>
      <c r="T13" s="6" t="str">
        <f>COUNTIFS(Input!$B$1:$B$1500,T$17,Input!$C$1:$C$1500,$C13,Input!$D$1:$D$1500,"R")&amp;"/"&amp;COUNTIFS(Input!$B$1:$B$1500,T$17,Input!$C$1:$C$1500,$C13)</f>
        <v>0/5</v>
      </c>
      <c r="U13" s="6" t="str">
        <f>COUNTIFS(Input!$B$1:$B$1500,U$17,Input!$C$1:$C$1500,$C13,Input!$D$1:$D$1500,"R")&amp;"/"&amp;COUNTIFS(Input!$B$1:$B$1500,U$17,Input!$C$1:$C$1500,$C13)</f>
        <v>0/6</v>
      </c>
      <c r="V13" s="6" t="str">
        <f>COUNTIFS(Input!$B$1:$B$1500,V$17,Input!$C$1:$C$1500,$C13,Input!$D$1:$D$1500,"R")&amp;"/"&amp;COUNTIFS(Input!$B$1:$B$1500,V$17,Input!$C$1:$C$1500,$C13)</f>
        <v>0/8</v>
      </c>
      <c r="W13" s="3">
        <f>COUNTIFS(Input!$B$1:$B$1500,D$17,Input!$C$1:$C$1500,$C13,Input!$D$1:$D$1500,"R")/COUNTIFS(Input!$B$1:$B$1500,D$17,Input!$C$1:$C$1500,$C13)</f>
        <v>0</v>
      </c>
      <c r="X13" s="3">
        <f>COUNTIFS(Input!$B$1:$B$1500,E$17,Input!$C$1:$C$1500,$C13,Input!$D$1:$D$1500,"R")/COUNTIFS(Input!$B$1:$B$1500,E$17,Input!$C$1:$C$1500,$C13)</f>
        <v>0</v>
      </c>
      <c r="Y13" s="3">
        <f>COUNTIFS(Input!$B$1:$B$1500,F$17,Input!$C$1:$C$1500,$C13,Input!$D$1:$D$1500,"R")/COUNTIFS(Input!$B$1:$B$1500,F$17,Input!$C$1:$C$1500,$C13)</f>
        <v>0</v>
      </c>
      <c r="Z13" s="3">
        <f>COUNTIFS(Input!$B$1:$B$1500,G$17,Input!$C$1:$C$1500,$C13,Input!$D$1:$D$1500,"R")/COUNTIFS(Input!$B$1:$B$1500,G$17,Input!$C$1:$C$1500,$C13)</f>
        <v>0</v>
      </c>
      <c r="AA13" s="3">
        <f>COUNTIFS(Input!$B$1:$B$1500,H$17,Input!$C$1:$C$1500,$C13,Input!$D$1:$D$1500,"R")/COUNTIFS(Input!$B$1:$B$1500,H$17,Input!$C$1:$C$1500,$C13)</f>
        <v>0</v>
      </c>
      <c r="AB13" s="3">
        <f>COUNTIFS(Input!$B$1:$B$1500,I$17,Input!$C$1:$C$1500,$C13,Input!$D$1:$D$1500,"R")/COUNTIFS(Input!$B$1:$B$1500,I$17,Input!$C$1:$C$1500,$C13)</f>
        <v>0</v>
      </c>
      <c r="AC13" s="3">
        <f>COUNTIFS(Input!$B$1:$B$1500,J$17,Input!$C$1:$C$1500,$C13,Input!$D$1:$D$1500,"R")/COUNTIFS(Input!$B$1:$B$1500,J$17,Input!$C$1:$C$1500,$C13)</f>
        <v>0</v>
      </c>
      <c r="AD13" s="3" t="e">
        <f>COUNTIFS(Input!$B$1:$B$1500,K$17,Input!$C$1:$C$1500,$C13,Input!$D$1:$D$1500,"R")/COUNTIFS(Input!$B$1:$B$1500,K$17,Input!$C$1:$C$1500,$C13)</f>
        <v>#DIV/0!</v>
      </c>
      <c r="AE13" s="3">
        <f>COUNTIFS(Input!$B$1:$B$1500,L$17,Input!$C$1:$C$1500,$C13,Input!$D$1:$D$1500,"R")/COUNTIFS(Input!$B$1:$B$1500,L$17,Input!$C$1:$C$1500,$C13)</f>
        <v>0</v>
      </c>
      <c r="AF13" s="3">
        <f>COUNTIFS(Input!$B$1:$B$1500,M$17,Input!$C$1:$C$1500,$C13,Input!$D$1:$D$1500,"R")/COUNTIFS(Input!$B$1:$B$1500,M$17,Input!$C$1:$C$1500,$C13)</f>
        <v>0</v>
      </c>
      <c r="AG13" s="3">
        <f>COUNTIFS(Input!$B$1:$B$1500,N$17,Input!$C$1:$C$1500,$C13,Input!$D$1:$D$1500,"R")/COUNTIFS(Input!$B$1:$B$1500,N$17,Input!$C$1:$C$1500,$C13)</f>
        <v>0</v>
      </c>
      <c r="AH13" s="3">
        <f>COUNTIFS(Input!$B$1:$B$1500,O$17,Input!$C$1:$C$1500,$C13,Input!$D$1:$D$1500,"R")/COUNTIFS(Input!$B$1:$B$1500,O$17,Input!$C$1:$C$1500,$C13)</f>
        <v>0</v>
      </c>
      <c r="AI13" s="3">
        <f>COUNTIFS(Input!$B$1:$B$1500,P$17,Input!$C$1:$C$1500,$C13,Input!$D$1:$D$1500,"R")/COUNTIFS(Input!$B$1:$B$1500,P$17,Input!$C$1:$C$1500,$C13)</f>
        <v>0</v>
      </c>
      <c r="AJ13" s="3">
        <f>COUNTIFS(Input!$B$1:$B$1500,Q$17,Input!$C$1:$C$1500,$C13,Input!$D$1:$D$1500,"R")/COUNTIFS(Input!$B$1:$B$1500,Q$17,Input!$C$1:$C$1500,$C13)</f>
        <v>0</v>
      </c>
      <c r="AK13" s="3">
        <f>COUNTIFS(Input!$B$1:$B$1500,S$17,Input!$C$1:$C$1500,$C13,Input!$D$1:$D$1500,"R")/COUNTIFS(Input!$B$1:$B$1500,S$17,Input!$C$1:$C$1500,$C13)</f>
        <v>0</v>
      </c>
      <c r="AL13" s="3">
        <f>COUNTIFS(Input!$B$1:$B$1500,S$17,Input!$C$1:$C$1500,$C13,Input!$D$1:$D$1500,"R")/COUNTIFS(Input!$B$1:$B$1500,S$17,Input!$C$1:$C$1500,$C13)</f>
        <v>0</v>
      </c>
      <c r="AM13" s="3">
        <f>COUNTIFS(Input!$B$1:$B$1500,T$17,Input!$C$1:$C$1500,$C13,Input!$D$1:$D$1500,"R")/COUNTIFS(Input!$B$1:$B$1500,T$17,Input!$C$1:$C$1500,$C13)</f>
        <v>0</v>
      </c>
      <c r="AN13" s="3">
        <f>COUNTIFS(Input!$B$1:$B$1500,U$17,Input!$C$1:$C$1500,$C13,Input!$D$1:$D$1500,"R")/COUNTIFS(Input!$B$1:$B$1500,U$17,Input!$C$1:$C$1500,$C13)</f>
        <v>0</v>
      </c>
      <c r="AO13" s="3">
        <f>COUNTIFS(Input!$B$1:$B$1500,V$17,Input!$C$1:$C$1500,$C13,Input!$D$1:$D$1500,"R")/COUNTIFS(Input!$B$1:$B$1500,V$17,Input!$C$1:$C$1500,$C13)</f>
        <v>0</v>
      </c>
    </row>
    <row r="14" spans="1:41" s="2" customFormat="1" ht="22" customHeight="1">
      <c r="C14" s="5" t="s">
        <v>24</v>
      </c>
      <c r="D14" s="6" t="str">
        <f>COUNTIFS(Input!$B$1:$B$1500,D$17,Input!$C$1:$C$1500,$C14,Input!$D$1:$D$1500,"R")&amp;"/"&amp;COUNTIFS(Input!$B$1:$B$1500,D$17,Input!$C$1:$C$1500,$C14)</f>
        <v>0/16</v>
      </c>
      <c r="E14" s="6" t="str">
        <f>COUNTIFS(Input!$B$1:$B$1500,E$17,Input!$C$1:$C$1500,$C14,Input!$D$1:$D$1500,"R")&amp;"/"&amp;COUNTIFS(Input!$B$1:$B$1500,E$17,Input!$C$1:$C$1500,$C14)</f>
        <v>0/10</v>
      </c>
      <c r="F14" s="6" t="str">
        <f>COUNTIFS(Input!$B$1:$B$1500,F$17,Input!$C$1:$C$1500,$C14,Input!$D$1:$D$1500,"R")&amp;"/"&amp;COUNTIFS(Input!$B$1:$B$1500,F$17,Input!$C$1:$C$1500,$C14)</f>
        <v>0/9</v>
      </c>
      <c r="G14" s="6" t="str">
        <f>COUNTIFS(Input!$B$1:$B$1500,G$17,Input!$C$1:$C$1500,$C14,Input!$D$1:$D$1500,"R")&amp;"/"&amp;COUNTIFS(Input!$B$1:$B$1500,G$17,Input!$C$1:$C$1500,$C14)</f>
        <v>0/12</v>
      </c>
      <c r="H14" s="6" t="str">
        <f>COUNTIFS(Input!$B$1:$B$1500,H$17,Input!$C$1:$C$1500,$C14,Input!$D$1:$D$1500,"R")&amp;"/"&amp;COUNTIFS(Input!$B$1:$B$1500,H$17,Input!$C$1:$C$1500,$C14)</f>
        <v>0/8</v>
      </c>
      <c r="I14" s="6" t="str">
        <f>COUNTIFS(Input!$B$1:$B$1500,I$17,Input!$C$1:$C$1500,$C14,Input!$D$1:$D$1500,"R")&amp;"/"&amp;COUNTIFS(Input!$B$1:$B$1500,I$17,Input!$C$1:$C$1500,$C14)</f>
        <v>0/2</v>
      </c>
      <c r="J14" s="6" t="str">
        <f>COUNTIFS(Input!$B$1:$B$1500,J$17,Input!$C$1:$C$1500,$C14,Input!$D$1:$D$1500,"R")&amp;"/"&amp;COUNTIFS(Input!$B$1:$B$1500,J$17,Input!$C$1:$C$1500,$C14)</f>
        <v>0/6</v>
      </c>
      <c r="K14" s="6" t="str">
        <f>COUNTIFS(Input!$B$1:$B$1500,K$17,Input!$C$1:$C$1500,$C14,Input!$D$1:$D$1500,"R")&amp;"/"&amp;COUNTIFS(Input!$B$1:$B$1500,K$17,Input!$C$1:$C$1500,$C14)</f>
        <v>0/0</v>
      </c>
      <c r="L14" s="6" t="str">
        <f>COUNTIFS(Input!$B$1:$B$1500,L$17,Input!$C$1:$C$1500,$C14,Input!$D$1:$D$1500,"R")&amp;"/"&amp;COUNTIFS(Input!$B$1:$B$1500,L$17,Input!$C$1:$C$1500,$C14)</f>
        <v>0/1</v>
      </c>
      <c r="M14" s="6" t="str">
        <f>COUNTIFS(Input!$B$1:$B$1500,M$17,Input!$C$1:$C$1500,$C14,Input!$D$1:$D$1500,"R")&amp;"/"&amp;COUNTIFS(Input!$B$1:$B$1500,M$17,Input!$C$1:$C$1500,$C14)</f>
        <v>0/6</v>
      </c>
      <c r="N14" s="6" t="str">
        <f>COUNTIFS(Input!$B$1:$B$1500,N$17,Input!$C$1:$C$1500,$C14,Input!$D$1:$D$1500,"R")&amp;"/"&amp;COUNTIFS(Input!$B$1:$B$1500,N$17,Input!$C$1:$C$1500,$C14)</f>
        <v>0/4</v>
      </c>
      <c r="O14" s="6" t="str">
        <f>COUNTIFS(Input!$B$1:$B$1500,O$17,Input!$C$1:$C$1500,$C14,Input!$D$1:$D$1500,"R")&amp;"/"&amp;COUNTIFS(Input!$B$1:$B$1500,O$17,Input!$C$1:$C$1500,$C14)</f>
        <v>0/7</v>
      </c>
      <c r="P14" s="6" t="str">
        <f>COUNTIFS(Input!$B$1:$B$1500,P$17,Input!$C$1:$C$1500,$C14,Input!$D$1:$D$1500,"R")&amp;"/"&amp;COUNTIFS(Input!$B$1:$B$1500,P$17,Input!$C$1:$C$1500,$C14)</f>
        <v>0/7</v>
      </c>
      <c r="Q14" s="6" t="str">
        <f>COUNTIFS(Input!$B$1:$B$1500,Q$17,Input!$C$1:$C$1500,$C14,Input!$D$1:$D$1500,"R")&amp;"/"&amp;COUNTIFS(Input!$B$1:$B$1500,Q$17,Input!$C$1:$C$1500,$C14)</f>
        <v>0/3</v>
      </c>
      <c r="R14" s="6"/>
      <c r="S14" s="6" t="str">
        <f>COUNTIFS(Input!$B$1:$B$1500,S$17,Input!$C$1:$C$1500,$C14,Input!$D$1:$D$1500,"R")&amp;"/"&amp;COUNTIFS(Input!$B$1:$B$1500,S$17,Input!$C$1:$C$1500,$C14)</f>
        <v>0/1</v>
      </c>
      <c r="T14" s="6" t="str">
        <f>COUNTIFS(Input!$B$1:$B$1500,T$17,Input!$C$1:$C$1500,$C14,Input!$D$1:$D$1500,"R")&amp;"/"&amp;COUNTIFS(Input!$B$1:$B$1500,T$17,Input!$C$1:$C$1500,$C14)</f>
        <v>0/5</v>
      </c>
      <c r="U14" s="6" t="str">
        <f>COUNTIFS(Input!$B$1:$B$1500,U$17,Input!$C$1:$C$1500,$C14,Input!$D$1:$D$1500,"R")&amp;"/"&amp;COUNTIFS(Input!$B$1:$B$1500,U$17,Input!$C$1:$C$1500,$C14)</f>
        <v>0/2</v>
      </c>
      <c r="V14" s="6" t="str">
        <f>COUNTIFS(Input!$B$1:$B$1500,V$17,Input!$C$1:$C$1500,$C14,Input!$D$1:$D$1500,"R")&amp;"/"&amp;COUNTIFS(Input!$B$1:$B$1500,V$17,Input!$C$1:$C$1500,$C14)</f>
        <v>0/3</v>
      </c>
      <c r="W14" s="3">
        <f>COUNTIFS(Input!$B$1:$B$1500,D$17,Input!$C$1:$C$1500,$C14,Input!$D$1:$D$1500,"R")/COUNTIFS(Input!$B$1:$B$1500,D$17,Input!$C$1:$C$1500,$C14)</f>
        <v>0</v>
      </c>
      <c r="X14" s="3">
        <f>COUNTIFS(Input!$B$1:$B$1500,E$17,Input!$C$1:$C$1500,$C14,Input!$D$1:$D$1500,"R")/COUNTIFS(Input!$B$1:$B$1500,E$17,Input!$C$1:$C$1500,$C14)</f>
        <v>0</v>
      </c>
      <c r="Y14" s="3">
        <f>COUNTIFS(Input!$B$1:$B$1500,F$17,Input!$C$1:$C$1500,$C14,Input!$D$1:$D$1500,"R")/COUNTIFS(Input!$B$1:$B$1500,F$17,Input!$C$1:$C$1500,$C14)</f>
        <v>0</v>
      </c>
      <c r="Z14" s="3">
        <f>COUNTIFS(Input!$B$1:$B$1500,G$17,Input!$C$1:$C$1500,$C14,Input!$D$1:$D$1500,"R")/COUNTIFS(Input!$B$1:$B$1500,G$17,Input!$C$1:$C$1500,$C14)</f>
        <v>0</v>
      </c>
      <c r="AA14" s="3">
        <f>COUNTIFS(Input!$B$1:$B$1500,H$17,Input!$C$1:$C$1500,$C14,Input!$D$1:$D$1500,"R")/COUNTIFS(Input!$B$1:$B$1500,H$17,Input!$C$1:$C$1500,$C14)</f>
        <v>0</v>
      </c>
      <c r="AB14" s="3">
        <f>COUNTIFS(Input!$B$1:$B$1500,I$17,Input!$C$1:$C$1500,$C14,Input!$D$1:$D$1500,"R")/COUNTIFS(Input!$B$1:$B$1500,I$17,Input!$C$1:$C$1500,$C14)</f>
        <v>0</v>
      </c>
      <c r="AC14" s="3">
        <f>COUNTIFS(Input!$B$1:$B$1500,J$17,Input!$C$1:$C$1500,$C14,Input!$D$1:$D$1500,"R")/COUNTIFS(Input!$B$1:$B$1500,J$17,Input!$C$1:$C$1500,$C14)</f>
        <v>0</v>
      </c>
      <c r="AD14" s="3" t="e">
        <f>COUNTIFS(Input!$B$1:$B$1500,K$17,Input!$C$1:$C$1500,$C14,Input!$D$1:$D$1500,"R")/COUNTIFS(Input!$B$1:$B$1500,K$17,Input!$C$1:$C$1500,$C14)</f>
        <v>#DIV/0!</v>
      </c>
      <c r="AE14" s="3">
        <f>COUNTIFS(Input!$B$1:$B$1500,L$17,Input!$C$1:$C$1500,$C14,Input!$D$1:$D$1500,"R")/COUNTIFS(Input!$B$1:$B$1500,L$17,Input!$C$1:$C$1500,$C14)</f>
        <v>0</v>
      </c>
      <c r="AF14" s="3">
        <f>COUNTIFS(Input!$B$1:$B$1500,M$17,Input!$C$1:$C$1500,$C14,Input!$D$1:$D$1500,"R")/COUNTIFS(Input!$B$1:$B$1500,M$17,Input!$C$1:$C$1500,$C14)</f>
        <v>0</v>
      </c>
      <c r="AG14" s="3">
        <f>COUNTIFS(Input!$B$1:$B$1500,N$17,Input!$C$1:$C$1500,$C14,Input!$D$1:$D$1500,"R")/COUNTIFS(Input!$B$1:$B$1500,N$17,Input!$C$1:$C$1500,$C14)</f>
        <v>0</v>
      </c>
      <c r="AH14" s="3">
        <f>COUNTIFS(Input!$B$1:$B$1500,O$17,Input!$C$1:$C$1500,$C14,Input!$D$1:$D$1500,"R")/COUNTIFS(Input!$B$1:$B$1500,O$17,Input!$C$1:$C$1500,$C14)</f>
        <v>0</v>
      </c>
      <c r="AI14" s="3">
        <f>COUNTIFS(Input!$B$1:$B$1500,P$17,Input!$C$1:$C$1500,$C14,Input!$D$1:$D$1500,"R")/COUNTIFS(Input!$B$1:$B$1500,P$17,Input!$C$1:$C$1500,$C14)</f>
        <v>0</v>
      </c>
      <c r="AJ14" s="3">
        <f>COUNTIFS(Input!$B$1:$B$1500,Q$17,Input!$C$1:$C$1500,$C14,Input!$D$1:$D$1500,"R")/COUNTIFS(Input!$B$1:$B$1500,Q$17,Input!$C$1:$C$1500,$C14)</f>
        <v>0</v>
      </c>
      <c r="AK14" s="3" t="e">
        <f>COUNTIFS(Input!$B$1:$B$1500,R$17,Input!$C$1:$C$1500,$C14,Input!$D$1:$D$1500,"R")/COUNTIFS(Input!$B$1:$B$1500,R$17,Input!$C$1:$C$1500,$C14)</f>
        <v>#DIV/0!</v>
      </c>
      <c r="AL14" s="3">
        <f>COUNTIFS(Input!$B$1:$B$1500,S$17,Input!$C$1:$C$1500,$C14,Input!$D$1:$D$1500,"R")/COUNTIFS(Input!$B$1:$B$1500,S$17,Input!$C$1:$C$1500,$C14)</f>
        <v>0</v>
      </c>
      <c r="AM14" s="3">
        <f>COUNTIFS(Input!$B$1:$B$1500,T$17,Input!$C$1:$C$1500,$C14,Input!$D$1:$D$1500,"R")/COUNTIFS(Input!$B$1:$B$1500,T$17,Input!$C$1:$C$1500,$C14)</f>
        <v>0</v>
      </c>
      <c r="AN14" s="3">
        <f>COUNTIFS(Input!$B$1:$B$1500,U$17,Input!$C$1:$C$1500,$C14,Input!$D$1:$D$1500,"R")/COUNTIFS(Input!$B$1:$B$1500,U$17,Input!$C$1:$C$1500,$C14)</f>
        <v>0</v>
      </c>
      <c r="AO14" s="3">
        <f>COUNTIFS(Input!$B$1:$B$1500,V$17,Input!$C$1:$C$1500,$C14,Input!$D$1:$D$1500,"R")/COUNTIFS(Input!$B$1:$B$1500,V$17,Input!$C$1:$C$1500,$C14)</f>
        <v>0</v>
      </c>
    </row>
    <row r="15" spans="1:41" s="2" customFormat="1" ht="34">
      <c r="C15" s="45" t="s">
        <v>1330</v>
      </c>
      <c r="D15" s="7" t="s">
        <v>1502</v>
      </c>
      <c r="E15" s="7" t="s">
        <v>1503</v>
      </c>
      <c r="F15" s="7" t="s">
        <v>1504</v>
      </c>
      <c r="G15" s="7" t="s">
        <v>1498</v>
      </c>
      <c r="H15" s="7" t="s">
        <v>1499</v>
      </c>
      <c r="I15" s="45" t="s">
        <v>1322</v>
      </c>
      <c r="J15" s="7" t="s">
        <v>97</v>
      </c>
      <c r="K15" s="7" t="s">
        <v>414</v>
      </c>
      <c r="L15" s="46" t="s">
        <v>105</v>
      </c>
      <c r="M15" s="7" t="s">
        <v>110</v>
      </c>
      <c r="N15" s="7" t="s">
        <v>118</v>
      </c>
      <c r="O15" s="7" t="s">
        <v>124</v>
      </c>
      <c r="P15" s="7" t="s">
        <v>135</v>
      </c>
      <c r="Q15" s="7" t="s">
        <v>144</v>
      </c>
      <c r="R15" s="7" t="s">
        <v>294</v>
      </c>
      <c r="S15" s="7" t="s">
        <v>149</v>
      </c>
      <c r="T15" s="45" t="s">
        <v>1331</v>
      </c>
      <c r="U15" s="7" t="s">
        <v>161</v>
      </c>
      <c r="V15" s="7" t="s">
        <v>165</v>
      </c>
    </row>
    <row r="16" spans="1:41" s="2" customFormat="1" ht="17">
      <c r="C16" s="45"/>
      <c r="D16" s="45" t="s">
        <v>1501</v>
      </c>
      <c r="E16" s="45"/>
      <c r="F16" s="45"/>
      <c r="G16" s="45"/>
      <c r="H16" s="45"/>
      <c r="I16" s="45"/>
      <c r="J16" s="45" t="s">
        <v>1497</v>
      </c>
      <c r="K16" s="45"/>
      <c r="L16" s="47"/>
      <c r="M16" s="45" t="s">
        <v>1500</v>
      </c>
      <c r="N16" s="45"/>
      <c r="O16" s="45"/>
      <c r="P16" s="45" t="s">
        <v>1326</v>
      </c>
      <c r="Q16" s="45"/>
      <c r="R16" s="45"/>
      <c r="S16" s="45"/>
      <c r="T16" s="45"/>
      <c r="U16" s="45" t="s">
        <v>1328</v>
      </c>
      <c r="V16" s="45"/>
    </row>
    <row r="17" spans="3:22" s="2" customFormat="1" ht="12" hidden="1" customHeight="1">
      <c r="D17" s="8" t="s">
        <v>23</v>
      </c>
      <c r="E17" s="8" t="s">
        <v>42</v>
      </c>
      <c r="F17" s="8" t="s">
        <v>55</v>
      </c>
      <c r="G17" s="8" t="s">
        <v>67</v>
      </c>
      <c r="H17" s="8" t="s">
        <v>81</v>
      </c>
      <c r="I17" s="2" t="s">
        <v>91</v>
      </c>
      <c r="J17" s="8" t="s">
        <v>97</v>
      </c>
      <c r="K17" s="8" t="s">
        <v>414</v>
      </c>
      <c r="L17" s="8" t="s">
        <v>105</v>
      </c>
      <c r="M17" s="8" t="s">
        <v>110</v>
      </c>
      <c r="N17" s="8" t="s">
        <v>118</v>
      </c>
      <c r="O17" s="8" t="s">
        <v>124</v>
      </c>
      <c r="P17" s="8" t="s">
        <v>135</v>
      </c>
      <c r="Q17" s="8" t="s">
        <v>144</v>
      </c>
      <c r="R17" s="8" t="s">
        <v>294</v>
      </c>
      <c r="S17" s="8" t="s">
        <v>149</v>
      </c>
      <c r="T17" t="s">
        <v>152</v>
      </c>
      <c r="U17" s="8" t="s">
        <v>161</v>
      </c>
      <c r="V17" s="8" t="s">
        <v>165</v>
      </c>
    </row>
    <row r="18" spans="3:22" s="2" customFormat="1"/>
    <row r="19" spans="3:22" customFormat="1"/>
    <row r="20" spans="3:22" customFormat="1"/>
    <row r="21" spans="3:22" customFormat="1"/>
    <row r="22" spans="3:22" customFormat="1"/>
    <row r="23" spans="3:22" ht="96.75" customHeight="1">
      <c r="C23" s="9" t="s">
        <v>1229</v>
      </c>
      <c r="D23" s="10"/>
      <c r="E23" s="10"/>
      <c r="F23" s="10"/>
      <c r="G23" s="10"/>
      <c r="H23" s="10"/>
      <c r="I23" s="10" t="s">
        <v>1333</v>
      </c>
      <c r="J23" s="10"/>
      <c r="K23" s="10"/>
      <c r="L23" s="10" t="s">
        <v>1334</v>
      </c>
      <c r="M23" s="10" t="s">
        <v>1335</v>
      </c>
      <c r="N23" s="10" t="s">
        <v>1336</v>
      </c>
      <c r="O23" s="10" t="s">
        <v>1337</v>
      </c>
      <c r="P23" s="10" t="s">
        <v>1338</v>
      </c>
      <c r="Q23" s="10" t="s">
        <v>1339</v>
      </c>
      <c r="R23" s="10" t="s">
        <v>1340</v>
      </c>
      <c r="S23" s="10" t="s">
        <v>1341</v>
      </c>
      <c r="T23" s="10"/>
      <c r="U23" s="10" t="s">
        <v>1342</v>
      </c>
      <c r="V23" s="10" t="s">
        <v>1343</v>
      </c>
    </row>
    <row r="24" spans="3:22" ht="96.75" customHeight="1">
      <c r="C24" s="9" t="s">
        <v>1123</v>
      </c>
      <c r="D24" s="10"/>
      <c r="E24" s="10"/>
      <c r="F24" s="10"/>
      <c r="G24" s="10"/>
      <c r="H24" s="10"/>
      <c r="I24" s="10" t="s">
        <v>1344</v>
      </c>
      <c r="J24" s="10"/>
      <c r="K24" s="10"/>
      <c r="L24" s="10" t="s">
        <v>1345</v>
      </c>
      <c r="M24" s="10" t="s">
        <v>1346</v>
      </c>
      <c r="N24" s="10" t="s">
        <v>1347</v>
      </c>
      <c r="O24" s="10" t="s">
        <v>1348</v>
      </c>
      <c r="P24" s="10" t="s">
        <v>1349</v>
      </c>
      <c r="Q24" s="10" t="s">
        <v>1350</v>
      </c>
      <c r="R24" s="10" t="s">
        <v>1351</v>
      </c>
      <c r="S24" s="10" t="s">
        <v>1352</v>
      </c>
      <c r="T24" s="10"/>
      <c r="U24" s="10" t="s">
        <v>1353</v>
      </c>
      <c r="V24" s="10" t="s">
        <v>1354</v>
      </c>
    </row>
    <row r="25" spans="3:22" ht="96.75" customHeight="1">
      <c r="C25" s="9" t="s">
        <v>1022</v>
      </c>
      <c r="D25" s="10"/>
      <c r="E25" s="10"/>
      <c r="F25" s="10"/>
      <c r="G25" s="10"/>
      <c r="H25" s="10"/>
      <c r="I25" s="10" t="s">
        <v>1355</v>
      </c>
      <c r="J25" s="10"/>
      <c r="K25" s="10"/>
      <c r="L25" s="10" t="s">
        <v>1356</v>
      </c>
      <c r="M25" s="10" t="s">
        <v>1357</v>
      </c>
      <c r="N25" s="10" t="s">
        <v>1358</v>
      </c>
      <c r="O25" s="10" t="s">
        <v>1359</v>
      </c>
      <c r="P25" s="10" t="s">
        <v>1360</v>
      </c>
      <c r="Q25" s="10" t="s">
        <v>1361</v>
      </c>
      <c r="R25" s="10" t="s">
        <v>1362</v>
      </c>
      <c r="S25" s="10" t="s">
        <v>1363</v>
      </c>
      <c r="T25" s="10"/>
      <c r="U25" s="10" t="s">
        <v>1364</v>
      </c>
      <c r="V25" s="10" t="s">
        <v>1365</v>
      </c>
    </row>
    <row r="26" spans="3:22" ht="96.75" customHeight="1">
      <c r="C26" s="9" t="s">
        <v>938</v>
      </c>
      <c r="D26" s="10"/>
      <c r="E26" s="10"/>
      <c r="F26" s="10"/>
      <c r="G26" s="10" t="s">
        <v>1366</v>
      </c>
      <c r="H26" s="10" t="s">
        <v>1367</v>
      </c>
      <c r="I26" s="10" t="s">
        <v>1368</v>
      </c>
      <c r="J26" s="10"/>
      <c r="K26" s="10"/>
      <c r="L26" s="10" t="s">
        <v>1369</v>
      </c>
      <c r="M26" s="10" t="s">
        <v>1370</v>
      </c>
      <c r="N26" s="10" t="s">
        <v>1371</v>
      </c>
      <c r="O26" s="10" t="s">
        <v>1372</v>
      </c>
      <c r="P26" s="10" t="s">
        <v>1373</v>
      </c>
      <c r="Q26" s="10" t="s">
        <v>1374</v>
      </c>
      <c r="R26" s="10" t="s">
        <v>1375</v>
      </c>
      <c r="S26" s="10" t="s">
        <v>1376</v>
      </c>
      <c r="T26" s="10"/>
      <c r="U26" s="10" t="s">
        <v>1377</v>
      </c>
      <c r="V26" s="10" t="s">
        <v>1378</v>
      </c>
    </row>
    <row r="27" spans="3:22" ht="96.75" customHeight="1">
      <c r="C27" s="9" t="s">
        <v>870</v>
      </c>
      <c r="D27" s="10"/>
      <c r="E27" s="10"/>
      <c r="F27" s="10"/>
      <c r="G27" s="10" t="s">
        <v>1379</v>
      </c>
      <c r="H27" s="10" t="s">
        <v>1380</v>
      </c>
      <c r="I27" s="10" t="s">
        <v>1381</v>
      </c>
      <c r="J27" s="10"/>
      <c r="K27" s="10"/>
      <c r="L27" s="10" t="s">
        <v>1382</v>
      </c>
      <c r="M27" s="10" t="s">
        <v>1383</v>
      </c>
      <c r="N27" s="10" t="s">
        <v>1384</v>
      </c>
      <c r="O27" s="10" t="s">
        <v>1385</v>
      </c>
      <c r="P27" s="10" t="s">
        <v>1386</v>
      </c>
      <c r="Q27" s="10" t="s">
        <v>1387</v>
      </c>
      <c r="R27" s="10" t="s">
        <v>1388</v>
      </c>
      <c r="S27" s="10" t="s">
        <v>1389</v>
      </c>
      <c r="T27" s="10"/>
      <c r="U27" s="10" t="s">
        <v>1390</v>
      </c>
      <c r="V27" s="10" t="s">
        <v>1391</v>
      </c>
    </row>
    <row r="28" spans="3:22" ht="96.75" customHeight="1">
      <c r="C28" s="9" t="s">
        <v>747</v>
      </c>
      <c r="D28" s="10"/>
      <c r="E28" s="10"/>
      <c r="F28" s="10"/>
      <c r="G28" s="10" t="s">
        <v>1392</v>
      </c>
      <c r="H28" s="10" t="s">
        <v>1393</v>
      </c>
      <c r="I28" s="10" t="s">
        <v>1394</v>
      </c>
      <c r="J28" s="10" t="s">
        <v>1395</v>
      </c>
      <c r="K28" s="10" t="s">
        <v>1396</v>
      </c>
      <c r="L28" s="10" t="s">
        <v>1397</v>
      </c>
      <c r="M28" s="10" t="s">
        <v>1398</v>
      </c>
      <c r="N28" s="10" t="s">
        <v>1399</v>
      </c>
      <c r="O28" s="10" t="s">
        <v>1400</v>
      </c>
      <c r="P28" s="10" t="s">
        <v>1401</v>
      </c>
      <c r="Q28" s="10" t="s">
        <v>1402</v>
      </c>
      <c r="R28" s="10" t="s">
        <v>1403</v>
      </c>
      <c r="S28" s="10" t="s">
        <v>1404</v>
      </c>
      <c r="T28" s="10" t="s">
        <v>1405</v>
      </c>
      <c r="U28" s="10" t="s">
        <v>1406</v>
      </c>
      <c r="V28" s="10" t="s">
        <v>1407</v>
      </c>
    </row>
    <row r="29" spans="3:22" ht="96.75" customHeight="1">
      <c r="C29" s="9" t="s">
        <v>637</v>
      </c>
      <c r="D29" s="10"/>
      <c r="E29" s="10"/>
      <c r="F29" s="10"/>
      <c r="G29" s="10" t="s">
        <v>1408</v>
      </c>
      <c r="H29" s="10" t="s">
        <v>1409</v>
      </c>
      <c r="I29" s="10" t="s">
        <v>1410</v>
      </c>
      <c r="J29" s="10" t="s">
        <v>1411</v>
      </c>
      <c r="K29" s="10" t="s">
        <v>1412</v>
      </c>
      <c r="L29" s="10" t="s">
        <v>1413</v>
      </c>
      <c r="M29" s="10" t="s">
        <v>1414</v>
      </c>
      <c r="N29" s="10" t="s">
        <v>1415</v>
      </c>
      <c r="O29" s="10" t="s">
        <v>1416</v>
      </c>
      <c r="P29" s="10" t="s">
        <v>1417</v>
      </c>
      <c r="Q29" s="10" t="s">
        <v>1418</v>
      </c>
      <c r="R29" s="10" t="s">
        <v>1419</v>
      </c>
      <c r="S29" s="10" t="s">
        <v>1420</v>
      </c>
      <c r="T29" s="10" t="s">
        <v>1421</v>
      </c>
      <c r="U29" s="10" t="s">
        <v>1422</v>
      </c>
      <c r="V29" s="10" t="s">
        <v>1423</v>
      </c>
    </row>
    <row r="30" spans="3:22" ht="96.75" customHeight="1">
      <c r="C30" s="9" t="s">
        <v>487</v>
      </c>
      <c r="D30" s="10" t="s">
        <v>1424</v>
      </c>
      <c r="E30" s="10" t="s">
        <v>1425</v>
      </c>
      <c r="F30" s="10" t="s">
        <v>1426</v>
      </c>
      <c r="G30" s="10" t="s">
        <v>1427</v>
      </c>
      <c r="H30" s="10" t="s">
        <v>1428</v>
      </c>
      <c r="I30" s="10" t="s">
        <v>1429</v>
      </c>
      <c r="J30" s="10" t="s">
        <v>1430</v>
      </c>
      <c r="K30" s="10" t="s">
        <v>1431</v>
      </c>
      <c r="L30" s="10" t="s">
        <v>1432</v>
      </c>
      <c r="M30" s="10" t="s">
        <v>1433</v>
      </c>
      <c r="N30" s="10" t="s">
        <v>1434</v>
      </c>
      <c r="O30" s="10" t="s">
        <v>1435</v>
      </c>
      <c r="P30" s="10" t="s">
        <v>1436</v>
      </c>
      <c r="Q30" s="10" t="s">
        <v>1437</v>
      </c>
      <c r="R30" s="10" t="s">
        <v>1438</v>
      </c>
      <c r="S30" s="10" t="s">
        <v>1439</v>
      </c>
      <c r="T30" s="10" t="s">
        <v>1440</v>
      </c>
      <c r="U30" s="10" t="s">
        <v>1441</v>
      </c>
      <c r="V30" s="10" t="s">
        <v>1442</v>
      </c>
    </row>
    <row r="31" spans="3:22" ht="96.75" customHeight="1">
      <c r="C31" s="9" t="s">
        <v>326</v>
      </c>
      <c r="D31" s="10" t="s">
        <v>1443</v>
      </c>
      <c r="E31" s="10" t="s">
        <v>1444</v>
      </c>
      <c r="F31" s="10" t="s">
        <v>1445</v>
      </c>
      <c r="G31" s="10" t="s">
        <v>1446</v>
      </c>
      <c r="H31" s="10" t="s">
        <v>1447</v>
      </c>
      <c r="I31" s="10" t="s">
        <v>1448</v>
      </c>
      <c r="J31" s="10" t="s">
        <v>1449</v>
      </c>
      <c r="K31" s="10" t="s">
        <v>1450</v>
      </c>
      <c r="L31" s="10" t="s">
        <v>1451</v>
      </c>
      <c r="M31" s="10" t="s">
        <v>1452</v>
      </c>
      <c r="N31" s="10" t="s">
        <v>1453</v>
      </c>
      <c r="O31" s="10" t="s">
        <v>1454</v>
      </c>
      <c r="P31" s="10" t="s">
        <v>1455</v>
      </c>
      <c r="Q31" s="10" t="s">
        <v>1456</v>
      </c>
      <c r="R31" s="10" t="s">
        <v>1457</v>
      </c>
      <c r="S31" s="10" t="s">
        <v>1458</v>
      </c>
      <c r="T31" s="10" t="s">
        <v>1459</v>
      </c>
      <c r="U31" s="10" t="s">
        <v>1460</v>
      </c>
      <c r="V31" s="10" t="s">
        <v>1461</v>
      </c>
    </row>
    <row r="32" spans="3:22" ht="96.75" customHeight="1">
      <c r="C32" s="9" t="s">
        <v>171</v>
      </c>
      <c r="D32" s="10" t="s">
        <v>1462</v>
      </c>
      <c r="E32" s="10" t="s">
        <v>1463</v>
      </c>
      <c r="F32" s="10" t="s">
        <v>1464</v>
      </c>
      <c r="G32" s="10" t="s">
        <v>1465</v>
      </c>
      <c r="H32" s="10" t="s">
        <v>1466</v>
      </c>
      <c r="I32" s="10" t="s">
        <v>1467</v>
      </c>
      <c r="J32" s="10" t="s">
        <v>1468</v>
      </c>
      <c r="K32" s="10"/>
      <c r="L32" s="10" t="s">
        <v>1469</v>
      </c>
      <c r="M32" s="10" t="s">
        <v>1470</v>
      </c>
      <c r="N32" s="10" t="s">
        <v>1471</v>
      </c>
      <c r="O32" s="10" t="s">
        <v>1472</v>
      </c>
      <c r="P32" s="10" t="s">
        <v>1473</v>
      </c>
      <c r="Q32" s="10" t="s">
        <v>1474</v>
      </c>
      <c r="R32" s="10" t="s">
        <v>1475</v>
      </c>
      <c r="S32" s="10" t="s">
        <v>1476</v>
      </c>
      <c r="T32" s="10" t="s">
        <v>1477</v>
      </c>
      <c r="U32" s="10" t="s">
        <v>1489</v>
      </c>
      <c r="V32" s="10" t="s">
        <v>1490</v>
      </c>
    </row>
    <row r="33" spans="3:22" ht="96.75" customHeight="1">
      <c r="C33" s="9" t="s">
        <v>24</v>
      </c>
      <c r="D33" s="10" t="s">
        <v>1491</v>
      </c>
      <c r="E33" s="10" t="s">
        <v>1492</v>
      </c>
      <c r="F33" s="10" t="s">
        <v>1478</v>
      </c>
      <c r="G33" s="10" t="s">
        <v>1479</v>
      </c>
      <c r="H33" s="10" t="s">
        <v>1480</v>
      </c>
      <c r="I33" s="10" t="s">
        <v>1493</v>
      </c>
      <c r="J33" s="10" t="s">
        <v>1481</v>
      </c>
      <c r="K33" s="10"/>
      <c r="L33" s="10" t="s">
        <v>1482</v>
      </c>
      <c r="M33" s="10" t="s">
        <v>1483</v>
      </c>
      <c r="N33" s="10" t="s">
        <v>1484</v>
      </c>
      <c r="O33" s="10" t="s">
        <v>1485</v>
      </c>
      <c r="P33" s="10" t="s">
        <v>1486</v>
      </c>
      <c r="Q33" s="10" t="s">
        <v>1487</v>
      </c>
      <c r="R33" s="10"/>
      <c r="S33" s="10" t="s">
        <v>1488</v>
      </c>
      <c r="T33" s="10" t="s">
        <v>1494</v>
      </c>
      <c r="U33" s="10" t="s">
        <v>1495</v>
      </c>
      <c r="V33" s="10" t="s">
        <v>1496</v>
      </c>
    </row>
    <row r="34" spans="3:22" ht="34">
      <c r="C34" s="45" t="s">
        <v>1330</v>
      </c>
      <c r="D34" s="7" t="s">
        <v>1502</v>
      </c>
      <c r="E34" s="7" t="s">
        <v>1503</v>
      </c>
      <c r="F34" s="7" t="s">
        <v>1504</v>
      </c>
      <c r="G34" s="7" t="s">
        <v>1498</v>
      </c>
      <c r="H34" s="7" t="s">
        <v>1499</v>
      </c>
      <c r="I34" s="45" t="s">
        <v>1322</v>
      </c>
      <c r="J34" s="7" t="s">
        <v>97</v>
      </c>
      <c r="K34" s="7" t="s">
        <v>414</v>
      </c>
      <c r="L34" s="46" t="s">
        <v>105</v>
      </c>
      <c r="M34" s="7" t="s">
        <v>110</v>
      </c>
      <c r="N34" s="7" t="s">
        <v>118</v>
      </c>
      <c r="O34" s="7" t="s">
        <v>124</v>
      </c>
      <c r="P34" s="7" t="s">
        <v>135</v>
      </c>
      <c r="Q34" s="7" t="s">
        <v>144</v>
      </c>
      <c r="R34" s="7" t="s">
        <v>294</v>
      </c>
      <c r="S34" s="7" t="s">
        <v>149</v>
      </c>
      <c r="T34" s="45" t="s">
        <v>1331</v>
      </c>
      <c r="U34" s="7" t="s">
        <v>161</v>
      </c>
      <c r="V34" s="7" t="s">
        <v>165</v>
      </c>
    </row>
    <row r="35" spans="3:22" ht="17">
      <c r="C35" s="45"/>
      <c r="D35" s="45" t="s">
        <v>1505</v>
      </c>
      <c r="E35" s="45"/>
      <c r="F35" s="45"/>
      <c r="G35" s="45"/>
      <c r="H35" s="45"/>
      <c r="I35" s="45"/>
      <c r="J35" s="45" t="s">
        <v>1323</v>
      </c>
      <c r="K35" s="45"/>
      <c r="L35" s="47"/>
      <c r="M35" s="45" t="s">
        <v>1325</v>
      </c>
      <c r="N35" s="45"/>
      <c r="O35" s="45"/>
      <c r="P35" s="45" t="s">
        <v>1326</v>
      </c>
      <c r="Q35" s="45"/>
      <c r="R35" s="45"/>
      <c r="S35" s="45"/>
      <c r="T35" s="45"/>
      <c r="U35" s="45" t="s">
        <v>1328</v>
      </c>
      <c r="V35" s="45"/>
    </row>
  </sheetData>
  <mergeCells count="18">
    <mergeCell ref="C15:C16"/>
    <mergeCell ref="C34:C35"/>
    <mergeCell ref="I15:I16"/>
    <mergeCell ref="I34:I35"/>
    <mergeCell ref="L15:L16"/>
    <mergeCell ref="L34:L35"/>
    <mergeCell ref="D35:H35"/>
    <mergeCell ref="J35:K35"/>
    <mergeCell ref="M35:O35"/>
    <mergeCell ref="P35:S35"/>
    <mergeCell ref="U35:V35"/>
    <mergeCell ref="T34:T35"/>
    <mergeCell ref="D16:H16"/>
    <mergeCell ref="J16:K16"/>
    <mergeCell ref="M16:O16"/>
    <mergeCell ref="P16:S16"/>
    <mergeCell ref="U16:V16"/>
    <mergeCell ref="T15:T16"/>
  </mergeCells>
  <phoneticPr fontId="26" type="noConversion"/>
  <conditionalFormatting sqref="D4:V14">
    <cfRule type="expression" dxfId="7" priority="10" stopIfTrue="1">
      <formula>IF(W4&lt;1/2,1,0)=1</formula>
    </cfRule>
    <cfRule type="expression" dxfId="6" priority="9" stopIfTrue="1">
      <formula>IF(W4&gt;=1/2,1,0)=1</formula>
    </cfRule>
    <cfRule type="expression" dxfId="5" priority="8" stopIfTrue="1">
      <formula>IF(W4&gt;=2/3,1,0)=1</formula>
    </cfRule>
    <cfRule type="expression" dxfId="4" priority="7" stopIfTrue="1">
      <formula>IF(W4=1,1,0)=1</formula>
    </cfRule>
    <cfRule type="expression" priority="6" stopIfTrue="1">
      <formula>IF(W4=0,1,0)=1</formula>
    </cfRule>
  </conditionalFormatting>
  <conditionalFormatting sqref="D23:V33">
    <cfRule type="expression" dxfId="3" priority="5" stopIfTrue="1">
      <formula>IF(W23&lt;1/2,1,0)=1</formula>
    </cfRule>
    <cfRule type="expression" dxfId="2" priority="4" stopIfTrue="1">
      <formula>IF(W23&gt;=1/2,1,0)=1</formula>
    </cfRule>
    <cfRule type="expression" dxfId="1" priority="3" stopIfTrue="1">
      <formula>IF(W23&gt;=2/3,1,0)=1</formula>
    </cfRule>
    <cfRule type="expression" dxfId="0" priority="2" stopIfTrue="1">
      <formula>IF(W23=1,1,0)=1</formula>
    </cfRule>
    <cfRule type="expression" priority="1" stopIfTrue="1">
      <formula>IF(W23=0,1,0)=1</formula>
    </cfRule>
  </conditionalFormatting>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4421" r:id="rId3" name="Button 325">
              <controlPr defaultSize="0" print="0" autoPict="0" macro="[0]!模块1.cherkk">
                <anchor>
                  <from>
                    <xdr:col>0</xdr:col>
                    <xdr:colOff>95250</xdr:colOff>
                    <xdr:row>3</xdr:row>
                    <xdr:rowOff>38100</xdr:rowOff>
                  </from>
                  <to>
                    <xdr:col>1</xdr:col>
                    <xdr:colOff>647700</xdr:colOff>
                    <xdr:row>4</xdr:row>
                    <xdr:rowOff>184150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MustRead</vt:lpstr>
      <vt:lpstr>Input</vt:lpstr>
      <vt:lpstr>TotalAnalysis</vt:lpstr>
      <vt:lpstr>DetailedAnalysis</vt:lpstr>
      <vt:lpstr>NotAchieved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zengying</dc:creator>
  <cp:lastModifiedBy>倉甫 葉</cp:lastModifiedBy>
  <dcterms:created xsi:type="dcterms:W3CDTF">2023-05-12T11:15:00Z</dcterms:created>
  <dcterms:modified xsi:type="dcterms:W3CDTF">2025-10-25T09:01:00Z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2052-12.1.0.22529</vt:lpwstr>
  </property>
  <property fmtid="{D5CDD505-2E9C-101B-9397-08002B2CF9AE}" pid="3" name="ICV">
    <vt:lpwstr>E6A65752132D44F4AFFEE69DAB3397E8_13</vt:lpwstr>
  </property>
</Properties>
</file>